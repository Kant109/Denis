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orentin\repos\Denis\src\tools\"/>
    </mc:Choice>
  </mc:AlternateContent>
  <xr:revisionPtr revIDLastSave="0" documentId="13_ncr:1_{657AB584-95B6-4C5A-AD9F-B17790C3D843}" xr6:coauthVersionLast="47" xr6:coauthVersionMax="47" xr10:uidLastSave="{00000000-0000-0000-0000-000000000000}"/>
  <bookViews>
    <workbookView xWindow="22932" yWindow="-108" windowWidth="23256" windowHeight="13896" xr2:uid="{08D829E9-EB5E-4433-A66A-B6A27CB241B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" i="1"/>
  <c r="W22" i="1"/>
  <c r="V22" i="1"/>
  <c r="X3" i="1"/>
  <c r="Y3" i="1" s="1"/>
  <c r="Y2" i="1"/>
  <c r="X2" i="1"/>
  <c r="W2" i="1" s="1"/>
  <c r="C30" i="1"/>
  <c r="M25" i="1"/>
  <c r="M24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N21" i="1"/>
  <c r="N19" i="1"/>
  <c r="N17" i="1"/>
  <c r="N15" i="1"/>
  <c r="N13" i="1"/>
  <c r="N11" i="1"/>
  <c r="N9" i="1"/>
  <c r="N7" i="1"/>
  <c r="N5" i="1"/>
  <c r="N3" i="1"/>
  <c r="N22" i="1"/>
  <c r="N20" i="1"/>
  <c r="N18" i="1"/>
  <c r="N16" i="1"/>
  <c r="N14" i="1"/>
  <c r="N12" i="1"/>
  <c r="N10" i="1"/>
  <c r="N8" i="1"/>
  <c r="N6" i="1"/>
  <c r="N4" i="1"/>
  <c r="N2" i="1"/>
  <c r="D28" i="1"/>
  <c r="D26" i="1"/>
  <c r="I26" i="1"/>
  <c r="H26" i="1" s="1"/>
  <c r="D2" i="1"/>
  <c r="C2" i="1"/>
  <c r="F2" i="1" s="1"/>
  <c r="J25" i="1"/>
  <c r="C29" i="1" s="1"/>
  <c r="D29" i="1" s="1"/>
  <c r="H22" i="1"/>
  <c r="H20" i="1"/>
  <c r="H18" i="1"/>
  <c r="H16" i="1"/>
  <c r="H14" i="1"/>
  <c r="H12" i="1"/>
  <c r="H10" i="1"/>
  <c r="H8" i="1"/>
  <c r="H6" i="1"/>
  <c r="H4" i="1"/>
  <c r="H2" i="1"/>
  <c r="H21" i="1"/>
  <c r="H19" i="1"/>
  <c r="H17" i="1"/>
  <c r="H15" i="1"/>
  <c r="H13" i="1"/>
  <c r="H11" i="1"/>
  <c r="H9" i="1"/>
  <c r="H7" i="1"/>
  <c r="H5" i="1"/>
  <c r="H3" i="1"/>
  <c r="A3" i="1"/>
  <c r="D3" i="1" s="1"/>
  <c r="V2" i="1" l="1"/>
  <c r="V3" i="1"/>
  <c r="W3" i="1"/>
  <c r="P2" i="1"/>
  <c r="R2" i="1"/>
  <c r="Q2" i="1"/>
  <c r="S2" i="1"/>
  <c r="J2" i="1"/>
  <c r="K2" i="1"/>
  <c r="C27" i="1"/>
  <c r="D27" i="1" s="1"/>
  <c r="M2" i="1" s="1"/>
  <c r="C3" i="1"/>
  <c r="S3" i="1" s="1"/>
  <c r="J26" i="1"/>
  <c r="G26" i="1"/>
  <c r="G2" i="1"/>
  <c r="A4" i="1"/>
  <c r="X4" i="1" s="1"/>
  <c r="Y4" i="1" s="1"/>
  <c r="W4" i="1" l="1"/>
  <c r="V4" i="1"/>
  <c r="Q3" i="1"/>
  <c r="P3" i="1"/>
  <c r="R3" i="1"/>
  <c r="L2" i="1"/>
  <c r="U2" i="1"/>
  <c r="F3" i="1"/>
  <c r="L3" i="1"/>
  <c r="J3" i="1"/>
  <c r="M3" i="1"/>
  <c r="K3" i="1"/>
  <c r="G3" i="1"/>
  <c r="D4" i="1"/>
  <c r="C4" i="1"/>
  <c r="A5" i="1"/>
  <c r="X5" i="1" s="1"/>
  <c r="Y5" i="1" s="1"/>
  <c r="V5" i="1" l="1"/>
  <c r="W5" i="1"/>
  <c r="R4" i="1"/>
  <c r="Q4" i="1"/>
  <c r="P4" i="1"/>
  <c r="S4" i="1"/>
  <c r="O2" i="1"/>
  <c r="I2" i="1"/>
  <c r="M4" i="1"/>
  <c r="K4" i="1"/>
  <c r="L4" i="1"/>
  <c r="J4" i="1"/>
  <c r="D5" i="1"/>
  <c r="C5" i="1"/>
  <c r="F4" i="1"/>
  <c r="G4" i="1"/>
  <c r="A6" i="1"/>
  <c r="X6" i="1" s="1"/>
  <c r="Y6" i="1" s="1"/>
  <c r="V6" i="1" l="1"/>
  <c r="W6" i="1"/>
  <c r="U3" i="1"/>
  <c r="P5" i="1"/>
  <c r="S5" i="1"/>
  <c r="R5" i="1"/>
  <c r="Q5" i="1"/>
  <c r="U4" i="1"/>
  <c r="O3" i="1"/>
  <c r="M5" i="1"/>
  <c r="K5" i="1"/>
  <c r="L5" i="1"/>
  <c r="J5" i="1"/>
  <c r="D6" i="1"/>
  <c r="C6" i="1"/>
  <c r="I3" i="1"/>
  <c r="F5" i="1"/>
  <c r="G5" i="1"/>
  <c r="A7" i="1"/>
  <c r="X7" i="1" s="1"/>
  <c r="Y7" i="1" s="1"/>
  <c r="V7" i="1" l="1"/>
  <c r="W7" i="1"/>
  <c r="O4" i="1"/>
  <c r="P6" i="1"/>
  <c r="R6" i="1"/>
  <c r="S6" i="1"/>
  <c r="Q6" i="1"/>
  <c r="U5" i="1" s="1"/>
  <c r="M6" i="1"/>
  <c r="K6" i="1"/>
  <c r="L6" i="1"/>
  <c r="J6" i="1"/>
  <c r="D7" i="1"/>
  <c r="C7" i="1"/>
  <c r="I4" i="1"/>
  <c r="F6" i="1"/>
  <c r="G6" i="1"/>
  <c r="A8" i="1"/>
  <c r="X8" i="1" s="1"/>
  <c r="Y8" i="1" s="1"/>
  <c r="V8" i="1" l="1"/>
  <c r="W8" i="1"/>
  <c r="O5" i="1"/>
  <c r="R7" i="1"/>
  <c r="P7" i="1"/>
  <c r="Q7" i="1"/>
  <c r="F7" i="1"/>
  <c r="S7" i="1"/>
  <c r="K7" i="1"/>
  <c r="L7" i="1"/>
  <c r="J7" i="1"/>
  <c r="M7" i="1"/>
  <c r="D8" i="1"/>
  <c r="C8" i="1"/>
  <c r="I5" i="1"/>
  <c r="G7" i="1"/>
  <c r="A9" i="1"/>
  <c r="X9" i="1" s="1"/>
  <c r="Y9" i="1" s="1"/>
  <c r="U6" i="1" l="1"/>
  <c r="V9" i="1"/>
  <c r="W9" i="1"/>
  <c r="Q8" i="1"/>
  <c r="P8" i="1"/>
  <c r="S8" i="1"/>
  <c r="U7" i="1" s="1"/>
  <c r="R8" i="1"/>
  <c r="O6" i="1"/>
  <c r="J8" i="1"/>
  <c r="M8" i="1"/>
  <c r="K8" i="1"/>
  <c r="L8" i="1"/>
  <c r="D9" i="1"/>
  <c r="C9" i="1"/>
  <c r="I6" i="1"/>
  <c r="G8" i="1"/>
  <c r="F8" i="1"/>
  <c r="A10" i="1"/>
  <c r="X10" i="1" s="1"/>
  <c r="Y10" i="1" s="1"/>
  <c r="V10" i="1" l="1"/>
  <c r="W10" i="1"/>
  <c r="O7" i="1"/>
  <c r="Q9" i="1"/>
  <c r="S9" i="1"/>
  <c r="R9" i="1"/>
  <c r="P9" i="1"/>
  <c r="U8" i="1"/>
  <c r="M9" i="1"/>
  <c r="K9" i="1"/>
  <c r="L9" i="1"/>
  <c r="J9" i="1"/>
  <c r="O8" i="1" s="1"/>
  <c r="C10" i="1"/>
  <c r="D10" i="1"/>
  <c r="I7" i="1"/>
  <c r="G9" i="1"/>
  <c r="F9" i="1"/>
  <c r="A11" i="1"/>
  <c r="X11" i="1" s="1"/>
  <c r="Y11" i="1" s="1"/>
  <c r="W11" i="1" l="1"/>
  <c r="V11" i="1"/>
  <c r="Q10" i="1"/>
  <c r="P10" i="1"/>
  <c r="S10" i="1"/>
  <c r="R10" i="1"/>
  <c r="K10" i="1"/>
  <c r="M10" i="1"/>
  <c r="L10" i="1"/>
  <c r="J10" i="1"/>
  <c r="O9" i="1" s="1"/>
  <c r="C11" i="1"/>
  <c r="D11" i="1"/>
  <c r="I8" i="1"/>
  <c r="F10" i="1"/>
  <c r="G10" i="1"/>
  <c r="A12" i="1"/>
  <c r="X12" i="1" s="1"/>
  <c r="Y12" i="1" s="1"/>
  <c r="V12" i="1" l="1"/>
  <c r="W12" i="1"/>
  <c r="U9" i="1"/>
  <c r="Q11" i="1"/>
  <c r="S11" i="1"/>
  <c r="P11" i="1"/>
  <c r="R11" i="1"/>
  <c r="L11" i="1"/>
  <c r="J11" i="1"/>
  <c r="M11" i="1"/>
  <c r="K11" i="1"/>
  <c r="C12" i="1"/>
  <c r="D12" i="1"/>
  <c r="I9" i="1"/>
  <c r="G11" i="1"/>
  <c r="F11" i="1"/>
  <c r="A13" i="1"/>
  <c r="X13" i="1" s="1"/>
  <c r="Y13" i="1" s="1"/>
  <c r="W13" i="1" l="1"/>
  <c r="V13" i="1"/>
  <c r="W14" i="1"/>
  <c r="U10" i="1"/>
  <c r="P12" i="1"/>
  <c r="Q12" i="1"/>
  <c r="R12" i="1"/>
  <c r="S12" i="1"/>
  <c r="O10" i="1"/>
  <c r="L12" i="1"/>
  <c r="J12" i="1"/>
  <c r="M12" i="1"/>
  <c r="K12" i="1"/>
  <c r="C13" i="1"/>
  <c r="D13" i="1"/>
  <c r="I10" i="1"/>
  <c r="G12" i="1"/>
  <c r="F12" i="1"/>
  <c r="A14" i="1"/>
  <c r="X14" i="1" s="1"/>
  <c r="Y14" i="1" s="1"/>
  <c r="V14" i="1" l="1"/>
  <c r="U11" i="1"/>
  <c r="P13" i="1"/>
  <c r="Q13" i="1"/>
  <c r="U12" i="1" s="1"/>
  <c r="R13" i="1"/>
  <c r="S13" i="1"/>
  <c r="O11" i="1"/>
  <c r="L13" i="1"/>
  <c r="J13" i="1"/>
  <c r="K13" i="1"/>
  <c r="M13" i="1"/>
  <c r="C14" i="1"/>
  <c r="D14" i="1"/>
  <c r="I11" i="1"/>
  <c r="G13" i="1"/>
  <c r="F13" i="1"/>
  <c r="A15" i="1"/>
  <c r="X15" i="1" s="1"/>
  <c r="Y15" i="1" s="1"/>
  <c r="W15" i="1" l="1"/>
  <c r="V15" i="1"/>
  <c r="P14" i="1"/>
  <c r="Q14" i="1"/>
  <c r="R14" i="1"/>
  <c r="S14" i="1"/>
  <c r="O12" i="1"/>
  <c r="K14" i="1"/>
  <c r="L14" i="1"/>
  <c r="M14" i="1"/>
  <c r="J14" i="1"/>
  <c r="C15" i="1"/>
  <c r="D15" i="1"/>
  <c r="I12" i="1"/>
  <c r="F14" i="1"/>
  <c r="G14" i="1"/>
  <c r="A16" i="1"/>
  <c r="X16" i="1" s="1"/>
  <c r="Y16" i="1" s="1"/>
  <c r="V16" i="1" l="1"/>
  <c r="W16" i="1"/>
  <c r="U13" i="1"/>
  <c r="P15" i="1"/>
  <c r="Q15" i="1"/>
  <c r="S15" i="1"/>
  <c r="R15" i="1"/>
  <c r="O13" i="1"/>
  <c r="M15" i="1"/>
  <c r="L15" i="1"/>
  <c r="J15" i="1"/>
  <c r="K15" i="1"/>
  <c r="D16" i="1"/>
  <c r="C16" i="1"/>
  <c r="I13" i="1"/>
  <c r="F15" i="1"/>
  <c r="G15" i="1"/>
  <c r="A17" i="1"/>
  <c r="X17" i="1" s="1"/>
  <c r="Y17" i="1" s="1"/>
  <c r="W17" i="1" l="1"/>
  <c r="V17" i="1"/>
  <c r="U14" i="1"/>
  <c r="P16" i="1"/>
  <c r="S16" i="1"/>
  <c r="Q16" i="1"/>
  <c r="R16" i="1"/>
  <c r="O14" i="1"/>
  <c r="L16" i="1"/>
  <c r="J16" i="1"/>
  <c r="M16" i="1"/>
  <c r="K16" i="1"/>
  <c r="D17" i="1"/>
  <c r="C17" i="1"/>
  <c r="I14" i="1"/>
  <c r="F16" i="1"/>
  <c r="G16" i="1"/>
  <c r="A18" i="1"/>
  <c r="X18" i="1" s="1"/>
  <c r="Y18" i="1" s="1"/>
  <c r="V18" i="1" l="1"/>
  <c r="W18" i="1"/>
  <c r="U15" i="1"/>
  <c r="R17" i="1"/>
  <c r="P17" i="1"/>
  <c r="S17" i="1"/>
  <c r="Q17" i="1"/>
  <c r="U16" i="1"/>
  <c r="O15" i="1"/>
  <c r="J17" i="1"/>
  <c r="L17" i="1"/>
  <c r="M17" i="1"/>
  <c r="K17" i="1"/>
  <c r="D18" i="1"/>
  <c r="C18" i="1"/>
  <c r="I15" i="1"/>
  <c r="F17" i="1"/>
  <c r="G17" i="1"/>
  <c r="A19" i="1"/>
  <c r="X19" i="1" s="1"/>
  <c r="Y19" i="1" s="1"/>
  <c r="V19" i="1" l="1"/>
  <c r="W19" i="1"/>
  <c r="O16" i="1"/>
  <c r="R18" i="1"/>
  <c r="P18" i="1"/>
  <c r="Q18" i="1"/>
  <c r="S18" i="1"/>
  <c r="U17" i="1"/>
  <c r="M18" i="1"/>
  <c r="K18" i="1"/>
  <c r="L18" i="1"/>
  <c r="J18" i="1"/>
  <c r="D19" i="1"/>
  <c r="C19" i="1"/>
  <c r="I16" i="1"/>
  <c r="F18" i="1"/>
  <c r="G18" i="1"/>
  <c r="A20" i="1"/>
  <c r="X20" i="1" s="1"/>
  <c r="Y20" i="1" s="1"/>
  <c r="W20" i="1" l="1"/>
  <c r="V20" i="1"/>
  <c r="O17" i="1"/>
  <c r="R19" i="1"/>
  <c r="Q19" i="1"/>
  <c r="P19" i="1"/>
  <c r="S19" i="1"/>
  <c r="U18" i="1"/>
  <c r="M19" i="1"/>
  <c r="K19" i="1"/>
  <c r="L19" i="1"/>
  <c r="J19" i="1"/>
  <c r="D20" i="1"/>
  <c r="C20" i="1"/>
  <c r="I17" i="1"/>
  <c r="F19" i="1"/>
  <c r="G19" i="1"/>
  <c r="A21" i="1"/>
  <c r="X21" i="1" s="1"/>
  <c r="Y21" i="1" s="1"/>
  <c r="V21" i="1" l="1"/>
  <c r="W21" i="1"/>
  <c r="Q20" i="1"/>
  <c r="R20" i="1"/>
  <c r="P20" i="1"/>
  <c r="S20" i="1"/>
  <c r="O18" i="1"/>
  <c r="U19" i="1"/>
  <c r="M20" i="1"/>
  <c r="K20" i="1"/>
  <c r="J20" i="1"/>
  <c r="L20" i="1"/>
  <c r="D21" i="1"/>
  <c r="C21" i="1"/>
  <c r="I18" i="1"/>
  <c r="F20" i="1"/>
  <c r="G20" i="1"/>
  <c r="A22" i="1"/>
  <c r="C22" i="1" s="1"/>
  <c r="Q21" i="1" l="1"/>
  <c r="R21" i="1"/>
  <c r="P21" i="1"/>
  <c r="U20" i="1" s="1"/>
  <c r="S21" i="1"/>
  <c r="P22" i="1"/>
  <c r="Q22" i="1"/>
  <c r="S22" i="1"/>
  <c r="R22" i="1"/>
  <c r="O19" i="1"/>
  <c r="L22" i="1"/>
  <c r="M22" i="1"/>
  <c r="K22" i="1"/>
  <c r="J22" i="1"/>
  <c r="K21" i="1"/>
  <c r="J21" i="1"/>
  <c r="M21" i="1"/>
  <c r="L21" i="1"/>
  <c r="I19" i="1"/>
  <c r="G22" i="1"/>
  <c r="F22" i="1"/>
  <c r="G21" i="1"/>
  <c r="F21" i="1"/>
  <c r="U21" i="1" l="1"/>
  <c r="O20" i="1"/>
  <c r="O21" i="1"/>
  <c r="I21" i="1"/>
  <c r="I20" i="1"/>
</calcChain>
</file>

<file path=xl/sharedStrings.xml><?xml version="1.0" encoding="utf-8"?>
<sst xmlns="http://schemas.openxmlformats.org/spreadsheetml/2006/main" count="44" uniqueCount="44">
  <si>
    <t>Angle départ</t>
  </si>
  <si>
    <t>Angle d'arrivée</t>
  </si>
  <si>
    <t>Position Centre</t>
  </si>
  <si>
    <t>Rayon Cible</t>
  </si>
  <si>
    <t>Fill</t>
  </si>
  <si>
    <t>EFDEAD</t>
  </si>
  <si>
    <t>Œil</t>
  </si>
  <si>
    <t>Taureau</t>
  </si>
  <si>
    <t>Cible</t>
  </si>
  <si>
    <t>cm</t>
  </si>
  <si>
    <t>pixel</t>
  </si>
  <si>
    <t>BB2A32</t>
  </si>
  <si>
    <t>3E7A31</t>
  </si>
  <si>
    <t>Couleurs:</t>
  </si>
  <si>
    <t>Beige</t>
  </si>
  <si>
    <t>Noir</t>
  </si>
  <si>
    <t>Rouge</t>
  </si>
  <si>
    <t>Vert</t>
  </si>
  <si>
    <t>1C1A1D</t>
  </si>
  <si>
    <t>Triple / Double</t>
  </si>
  <si>
    <t>Rayon :</t>
  </si>
  <si>
    <t>Rayon bas triple</t>
  </si>
  <si>
    <t>Rayon haut double</t>
  </si>
  <si>
    <t>Rayon bas double</t>
  </si>
  <si>
    <t>Rayon haut triple</t>
  </si>
  <si>
    <t>----------</t>
  </si>
  <si>
    <t>X numéro</t>
  </si>
  <si>
    <t>Y numéro</t>
  </si>
  <si>
    <t>X double haut</t>
  </si>
  <si>
    <t>Y double bas</t>
  </si>
  <si>
    <t>Y double haut</t>
  </si>
  <si>
    <t>X double bas</t>
  </si>
  <si>
    <t>X triple haut</t>
  </si>
  <si>
    <t>Y triple haut</t>
  </si>
  <si>
    <t>X triple bas</t>
  </si>
  <si>
    <t>Y triple bas</t>
  </si>
  <si>
    <t>Position</t>
  </si>
  <si>
    <t>Score</t>
  </si>
  <si>
    <t>Rotation texte</t>
  </si>
  <si>
    <t>Angle radian</t>
  </si>
  <si>
    <t>X texte</t>
  </si>
  <si>
    <t>Y texte</t>
  </si>
  <si>
    <t>Rayon texte</t>
  </si>
  <si>
    <t>Font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</si>
</sst>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quotePrefix="1"/>
    <xf numFmtId="2" fontId="1" fillId="0" borderId="0" xfId="0" applyNumberFormat="1" applyFon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26F9-27AA-46FE-87D5-DAA9B1EC338B}">
  <dimension ref="A1:Z37"/>
  <sheetViews>
    <sheetView tabSelected="1" workbookViewId="0"/>
  </sheetViews>
  <sheetFormatPr baseColWidth="10" defaultRowHeight="15" x14ac:dyDescent="0.25"/>
  <cols>
    <col min="2" max="2" width="17.5703125" bestFit="1" customWidth="1"/>
    <col min="3" max="3" width="14.28515625" bestFit="1" customWidth="1"/>
    <col min="4" max="4" width="13.85546875" bestFit="1" customWidth="1"/>
    <col min="5" max="5" width="15.28515625" customWidth="1"/>
    <col min="9" max="10" width="12" bestFit="1" customWidth="1"/>
    <col min="12" max="12" width="13.85546875" bestFit="1" customWidth="1"/>
    <col min="15" max="15" width="15.85546875" customWidth="1"/>
    <col min="16" max="16" width="15.140625" customWidth="1"/>
    <col min="17" max="17" width="13.5703125" customWidth="1"/>
  </cols>
  <sheetData>
    <row r="1" spans="1:26" x14ac:dyDescent="0.25">
      <c r="A1" t="s">
        <v>36</v>
      </c>
      <c r="B1" t="s">
        <v>37</v>
      </c>
      <c r="C1" t="s">
        <v>0</v>
      </c>
      <c r="D1" t="s">
        <v>1</v>
      </c>
      <c r="F1" t="s">
        <v>26</v>
      </c>
      <c r="G1" t="s">
        <v>27</v>
      </c>
      <c r="H1" t="s">
        <v>4</v>
      </c>
      <c r="J1" t="s">
        <v>28</v>
      </c>
      <c r="K1" t="s">
        <v>30</v>
      </c>
      <c r="L1" t="s">
        <v>31</v>
      </c>
      <c r="M1" t="s">
        <v>29</v>
      </c>
      <c r="P1" t="s">
        <v>32</v>
      </c>
      <c r="Q1" t="s">
        <v>33</v>
      </c>
      <c r="R1" t="s">
        <v>34</v>
      </c>
      <c r="S1" t="s">
        <v>35</v>
      </c>
      <c r="V1" t="s">
        <v>40</v>
      </c>
      <c r="W1" t="s">
        <v>41</v>
      </c>
      <c r="X1" t="s">
        <v>39</v>
      </c>
      <c r="Y1" t="s">
        <v>38</v>
      </c>
    </row>
    <row r="2" spans="1:26" x14ac:dyDescent="0.25">
      <c r="A2">
        <v>1</v>
      </c>
      <c r="B2">
        <v>13</v>
      </c>
      <c r="C2">
        <f>MOD(360/20*(A2-1) + 360/20/2, 360)</f>
        <v>9</v>
      </c>
      <c r="D2">
        <f>MOD(360/20*A2 + 360/20/2, 360)</f>
        <v>27</v>
      </c>
      <c r="F2" s="2">
        <f t="shared" ref="F2:F22" si="0">ROUND(COS(RADIANS(C2))*$D$25+$D$24,0)</f>
        <v>547</v>
      </c>
      <c r="G2" s="2">
        <f t="shared" ref="G2:G22" si="1">ROUND(-SIN(RADIANS(C2))*$D$25+$D$24, 0)</f>
        <v>261</v>
      </c>
      <c r="H2" t="str">
        <f>$C$35</f>
        <v>1C1A1D</v>
      </c>
      <c r="I2" t="str">
        <f t="shared" ref="I2:I21" si="2">_xlfn.CONCAT("&lt;!-- ",B2," --&gt; &lt;path d=""M",$D$24,",",$D$24," L",F2,",",G2," A",$D$24,",",$D$24," 0 0 0 ",F3,",",G3," Z"" fill=""#",H2,"""/&gt;")</f>
        <v>&lt;!-- 13 --&gt; &lt;path d="M300,300 L547,261 A300,300 0 0 0 523,187 Z" fill="#1C1A1D"/&gt;</v>
      </c>
      <c r="J2">
        <f t="shared" ref="J2:J22" si="3">ROUND(COS(RADIANS(C2))*$D$26+$D$24,0)</f>
        <v>547</v>
      </c>
      <c r="K2">
        <f t="shared" ref="K2:K22" si="4">ROUND(-SIN(RADIANS(C2))*$D$26+$D$24, 0)</f>
        <v>261</v>
      </c>
      <c r="L2">
        <f t="shared" ref="L2:L22" si="5">ROUND(COS(RADIANS(C2))*$D$27+$D$24,0)</f>
        <v>526</v>
      </c>
      <c r="M2">
        <f t="shared" ref="M2:M22" si="6">ROUND(-SIN(RADIANS(C2))*$D$27+$D$24, 0)</f>
        <v>264</v>
      </c>
      <c r="N2" t="str">
        <f>$C$36</f>
        <v>BB2A32</v>
      </c>
      <c r="O2" t="str">
        <f>_xlfn.CONCAT("&lt;!--   double --&gt; &lt;path stroke=""black"" stroke-width=""1"" d=""M",L2,",",M2," L",J2,",",K2," A",$D$24,",",$D$24," 0 0 0 ",J3,",",K3," L",L3,",",M3," A",$D$24,",",$D$24," 0 0 1 ",L2,",",M2," Z"" fill=""#",N2,"""/&gt;")</f>
        <v>&lt;!--   double --&gt; &lt;path stroke="black" stroke-width="1" d="M526,264 L547,261 A300,300 0 0 0 523,187 L504,196 A300,300 0 0 1 526,264 Z" fill="#BB2A32"/&gt;</v>
      </c>
      <c r="P2">
        <f>ROUND(COS(RADIANS(C2))*$D$28+$D$24,0)</f>
        <v>451</v>
      </c>
      <c r="Q2">
        <f>ROUND(-SIN(RADIANS(C2))*$D$28+$D$24, 0)</f>
        <v>276</v>
      </c>
      <c r="R2">
        <f>ROUND(COS(RADIANS(C2))*$D$29+$D$24,0)</f>
        <v>431</v>
      </c>
      <c r="S2">
        <f>ROUND(-SIN(RADIANS(C2))*$D$29+$D$24, 0)</f>
        <v>279</v>
      </c>
      <c r="T2" t="str">
        <f>$C$36</f>
        <v>BB2A32</v>
      </c>
      <c r="U2" t="str">
        <f>_xlfn.CONCAT("&lt;!--   triple --&gt; &lt;path stroke=""black"" stroke-width=""1"" d=""M",R2,",",S2," L",P2,",",Q2," A",$D$24,",",$D$24," 0 0 0 ",P3,",",Q3," L",R3,",",S3," A",$D$24,",",$D$24," 0 0 1 ",R2,",",S2," Z"" fill=""#",T2,"""/&gt;")</f>
        <v>&lt;!--   triple --&gt; &lt;path stroke="black" stroke-width="1" d="M431,279 L451,276 A300,300 0 0 0 436,230 L418,240 A300,300 0 0 1 431,279 Z" fill="#BB2A32"/&gt;</v>
      </c>
      <c r="V2">
        <f>ROUND(COS(RADIANS(X2))*$D$30+$D$24,0)</f>
        <v>575</v>
      </c>
      <c r="W2">
        <f>ROUND(-SIN(RADIANS(X2))*$D$30+$D$24, 0)</f>
        <v>300</v>
      </c>
      <c r="X2">
        <f>360/20*(A2-1)</f>
        <v>0</v>
      </c>
      <c r="Y2">
        <f>MOD(432-X2, 360)</f>
        <v>72</v>
      </c>
      <c r="Z2" t="str">
        <f>_xlfn.CONCAT("&lt;!--   nombre --&gt; &lt;text font-family=""Arial, Helvetica, sans-serif"" font-size=""",$D$31,""" text-anchor=""middle"" alignment-baseline=""middle"" fill=""white"" transform=""translate(",V3,", ",W3,") rotate(",Y2,")""&gt;",B2,"&lt;/text&gt;")</f>
        <v>&lt;!--   nombre --&gt; &lt;text font-family="Arial, Helvetica, sans-serif" font-size="24" text-anchor="middle" alignment-baseline="middle" fill="white" transform="translate(562, 215) rotate(72)"&gt;13&lt;/text&gt;</v>
      </c>
    </row>
    <row r="3" spans="1:26" x14ac:dyDescent="0.25">
      <c r="A3">
        <f t="shared" ref="A3:A22" si="7">A2+1</f>
        <v>2</v>
      </c>
      <c r="B3">
        <v>4</v>
      </c>
      <c r="C3">
        <f t="shared" ref="C3:C22" si="8">MOD(360/20*(A3-1) + 360/20/2, 360)</f>
        <v>27</v>
      </c>
      <c r="D3">
        <f t="shared" ref="D3:D21" si="9">MOD(360/20*A3 + 360/20/2, 360)</f>
        <v>45</v>
      </c>
      <c r="F3" s="2">
        <f t="shared" si="0"/>
        <v>523</v>
      </c>
      <c r="G3" s="2">
        <f t="shared" si="1"/>
        <v>187</v>
      </c>
      <c r="H3" t="str">
        <f>$C$34</f>
        <v>EFDEAD</v>
      </c>
      <c r="I3" t="str">
        <f t="shared" si="2"/>
        <v>&lt;!-- 4 --&gt; &lt;path d="M300,300 L523,187 A300,300 0 0 0 477,123 Z" fill="#EFDEAD"/&gt;</v>
      </c>
      <c r="J3">
        <f t="shared" si="3"/>
        <v>523</v>
      </c>
      <c r="K3">
        <f t="shared" si="4"/>
        <v>187</v>
      </c>
      <c r="L3">
        <f t="shared" si="5"/>
        <v>504</v>
      </c>
      <c r="M3">
        <f t="shared" si="6"/>
        <v>196</v>
      </c>
      <c r="N3" t="str">
        <f>$C$37</f>
        <v>3E7A31</v>
      </c>
      <c r="O3" t="str">
        <f t="shared" ref="O3:O21" si="10">_xlfn.CONCAT("&lt;!--   double --&gt; &lt;path stroke=""black"" stroke-width=""1"" d=""M",L3,",",M3," L",J3,",",K3," A",$D$24,",",$D$24," 0 0 0 ",J4,",",K4," L",L4,",",M4," A",$D$24,",",$D$24," 0 0 1 ",L3,",",M3," Z"" fill=""#",N3,"""/&gt;")</f>
        <v>&lt;!--   double --&gt; &lt;path stroke="black" stroke-width="1" d="M504,196 L523,187 A300,300 0 0 0 477,123 L462,138 A300,300 0 0 1 504,196 Z" fill="#3E7A31"/&gt;</v>
      </c>
      <c r="P3">
        <f t="shared" ref="P3:P22" si="11">ROUND(COS(RADIANS(C3))*$D$28+$D$24,0)</f>
        <v>436</v>
      </c>
      <c r="Q3">
        <f t="shared" ref="Q3:Q22" si="12">ROUND(-SIN(RADIANS(C3))*$D$28+$D$24, 0)</f>
        <v>230</v>
      </c>
      <c r="R3">
        <f t="shared" ref="R3:R22" si="13">ROUND(COS(RADIANS(C3))*$D$29+$D$24,0)</f>
        <v>418</v>
      </c>
      <c r="S3">
        <f t="shared" ref="S3:S22" si="14">ROUND(-SIN(RADIANS(C3))*$D$29+$D$24, 0)</f>
        <v>240</v>
      </c>
      <c r="T3" t="str">
        <f>$C$37</f>
        <v>3E7A31</v>
      </c>
      <c r="U3" t="str">
        <f t="shared" ref="U3:U21" si="15">_xlfn.CONCAT("&lt;!--   triple --&gt; &lt;path stroke=""black"" stroke-width=""1"" d=""M",R3,",",S3," L",P3,",",Q3," A",$D$24,",",$D$24," 0 0 0 ",P4,",",Q4," L",R4,",",S4," A",$D$24,",",$D$24," 0 0 1 ",R3,",",S3," Z"" fill=""#",T3,"""/&gt;")</f>
        <v>&lt;!--   triple --&gt; &lt;path stroke="black" stroke-width="1" d="M418,240 L436,230 A300,300 0 0 0 408,192 L394,206 A300,300 0 0 1 418,240 Z" fill="#3E7A31"/&gt;</v>
      </c>
      <c r="V3">
        <f t="shared" ref="V3:V22" si="16">ROUND(COS(RADIANS(X3))*$D$30+$D$24,0)</f>
        <v>562</v>
      </c>
      <c r="W3">
        <f t="shared" ref="W3:W22" si="17">ROUND(-SIN(RADIANS(X3))*$D$30+$D$24, 0)</f>
        <v>215</v>
      </c>
      <c r="X3">
        <f t="shared" ref="X3:X21" si="18">360/20*(A3-1)</f>
        <v>18</v>
      </c>
      <c r="Y3">
        <f t="shared" ref="Y3:Y21" si="19">MOD(432-X3, 360)</f>
        <v>54</v>
      </c>
      <c r="Z3" t="str">
        <f t="shared" ref="Z3:Z21" si="20">_xlfn.CONCAT("&lt;!--   nombre --&gt; &lt;text font-family=""Arial, Helvetica, sans-serif"" font-size=""",$D$31,""" text-anchor=""middle"" alignment-baseline=""middle"" fill=""white"" transform=""translate(",V4,", ",W4,") rotate(",Y3,")""&gt;",B3,"&lt;/text&gt;")</f>
        <v>&lt;!--   nombre --&gt; &lt;text font-family="Arial, Helvetica, sans-serif" font-size="24" text-anchor="middle" alignment-baseline="middle" fill="white" transform="translate(522, 138) rotate(54)"&gt;4&lt;/text&gt;</v>
      </c>
    </row>
    <row r="4" spans="1:26" x14ac:dyDescent="0.25">
      <c r="A4">
        <f t="shared" si="7"/>
        <v>3</v>
      </c>
      <c r="B4">
        <v>18</v>
      </c>
      <c r="C4">
        <f t="shared" si="8"/>
        <v>45</v>
      </c>
      <c r="D4">
        <f t="shared" si="9"/>
        <v>63</v>
      </c>
      <c r="F4" s="2">
        <f t="shared" si="0"/>
        <v>477</v>
      </c>
      <c r="G4" s="2">
        <f t="shared" si="1"/>
        <v>123</v>
      </c>
      <c r="H4" t="str">
        <f>$C$35</f>
        <v>1C1A1D</v>
      </c>
      <c r="I4" t="str">
        <f t="shared" si="2"/>
        <v>&lt;!-- 18 --&gt; &lt;path d="M300,300 L477,123 A300,300 0 0 0 413,77 Z" fill="#1C1A1D"/&gt;</v>
      </c>
      <c r="J4">
        <f t="shared" si="3"/>
        <v>477</v>
      </c>
      <c r="K4">
        <f t="shared" si="4"/>
        <v>123</v>
      </c>
      <c r="L4">
        <f t="shared" si="5"/>
        <v>462</v>
      </c>
      <c r="M4">
        <f t="shared" si="6"/>
        <v>138</v>
      </c>
      <c r="N4" t="str">
        <f>$C$36</f>
        <v>BB2A32</v>
      </c>
      <c r="O4" t="str">
        <f t="shared" si="10"/>
        <v>&lt;!--   double --&gt; &lt;path stroke="black" stroke-width="1" d="M462,138 L477,123 A300,300 0 0 0 413,77 L404,96 A300,300 0 0 1 462,138 Z" fill="#BB2A32"/&gt;</v>
      </c>
      <c r="P4">
        <f t="shared" si="11"/>
        <v>408</v>
      </c>
      <c r="Q4">
        <f t="shared" si="12"/>
        <v>192</v>
      </c>
      <c r="R4">
        <f t="shared" si="13"/>
        <v>394</v>
      </c>
      <c r="S4">
        <f t="shared" si="14"/>
        <v>206</v>
      </c>
      <c r="T4" t="str">
        <f>$C$36</f>
        <v>BB2A32</v>
      </c>
      <c r="U4" t="str">
        <f t="shared" si="15"/>
        <v>&lt;!--   triple --&gt; &lt;path stroke="black" stroke-width="1" d="M394,206 L408,192 A300,300 0 0 0 370,164 L360,182 A300,300 0 0 1 394,206 Z" fill="#BB2A32"/&gt;</v>
      </c>
      <c r="V4">
        <f t="shared" si="16"/>
        <v>522</v>
      </c>
      <c r="W4">
        <f t="shared" si="17"/>
        <v>138</v>
      </c>
      <c r="X4">
        <f t="shared" si="18"/>
        <v>36</v>
      </c>
      <c r="Y4">
        <f t="shared" si="19"/>
        <v>36</v>
      </c>
      <c r="Z4" t="str">
        <f t="shared" si="20"/>
        <v>&lt;!--   nombre --&gt; &lt;text font-family="Arial, Helvetica, sans-serif" font-size="24" text-anchor="middle" alignment-baseline="middle" fill="white" transform="translate(462, 78) rotate(36)"&gt;18&lt;/text&gt;</v>
      </c>
    </row>
    <row r="5" spans="1:26" x14ac:dyDescent="0.25">
      <c r="A5">
        <f t="shared" si="7"/>
        <v>4</v>
      </c>
      <c r="B5">
        <v>1</v>
      </c>
      <c r="C5">
        <f t="shared" si="8"/>
        <v>63</v>
      </c>
      <c r="D5">
        <f t="shared" si="9"/>
        <v>81</v>
      </c>
      <c r="F5" s="2">
        <f t="shared" si="0"/>
        <v>413</v>
      </c>
      <c r="G5" s="2">
        <f t="shared" si="1"/>
        <v>77</v>
      </c>
      <c r="H5" t="str">
        <f>$C$34</f>
        <v>EFDEAD</v>
      </c>
      <c r="I5" t="str">
        <f t="shared" si="2"/>
        <v>&lt;!-- 1 --&gt; &lt;path d="M300,300 L413,77 A300,300 0 0 0 339,53 Z" fill="#EFDEAD"/&gt;</v>
      </c>
      <c r="J5">
        <f t="shared" si="3"/>
        <v>413</v>
      </c>
      <c r="K5">
        <f t="shared" si="4"/>
        <v>77</v>
      </c>
      <c r="L5">
        <f t="shared" si="5"/>
        <v>404</v>
      </c>
      <c r="M5">
        <f t="shared" si="6"/>
        <v>96</v>
      </c>
      <c r="N5" t="str">
        <f>$C$37</f>
        <v>3E7A31</v>
      </c>
      <c r="O5" t="str">
        <f t="shared" si="10"/>
        <v>&lt;!--   double --&gt; &lt;path stroke="black" stroke-width="1" d="M404,96 L413,77 A300,300 0 0 0 339,53 L336,74 A300,300 0 0 1 404,96 Z" fill="#3E7A31"/&gt;</v>
      </c>
      <c r="P5">
        <f t="shared" si="11"/>
        <v>370</v>
      </c>
      <c r="Q5">
        <f t="shared" si="12"/>
        <v>164</v>
      </c>
      <c r="R5">
        <f t="shared" si="13"/>
        <v>360</v>
      </c>
      <c r="S5">
        <f t="shared" si="14"/>
        <v>182</v>
      </c>
      <c r="T5" t="str">
        <f>$C$37</f>
        <v>3E7A31</v>
      </c>
      <c r="U5" t="str">
        <f t="shared" si="15"/>
        <v>&lt;!--   triple --&gt; &lt;path stroke="black" stroke-width="1" d="M360,182 L370,164 A300,300 0 0 0 324,149 L321,169 A300,300 0 0 1 360,182 Z" fill="#3E7A31"/&gt;</v>
      </c>
      <c r="V5">
        <f t="shared" si="16"/>
        <v>462</v>
      </c>
      <c r="W5">
        <f t="shared" si="17"/>
        <v>78</v>
      </c>
      <c r="X5">
        <f t="shared" si="18"/>
        <v>54</v>
      </c>
      <c r="Y5">
        <f t="shared" si="19"/>
        <v>18</v>
      </c>
      <c r="Z5" t="str">
        <f t="shared" si="20"/>
        <v>&lt;!--   nombre --&gt; &lt;text font-family="Arial, Helvetica, sans-serif" font-size="24" text-anchor="middle" alignment-baseline="middle" fill="white" transform="translate(385, 38) rotate(18)"&gt;1&lt;/text&gt;</v>
      </c>
    </row>
    <row r="6" spans="1:26" x14ac:dyDescent="0.25">
      <c r="A6">
        <f t="shared" si="7"/>
        <v>5</v>
      </c>
      <c r="B6">
        <v>20</v>
      </c>
      <c r="C6">
        <f t="shared" si="8"/>
        <v>81</v>
      </c>
      <c r="D6">
        <f t="shared" si="9"/>
        <v>99</v>
      </c>
      <c r="F6" s="2">
        <f t="shared" si="0"/>
        <v>339</v>
      </c>
      <c r="G6" s="2">
        <f t="shared" si="1"/>
        <v>53</v>
      </c>
      <c r="H6" t="str">
        <f>$C$35</f>
        <v>1C1A1D</v>
      </c>
      <c r="I6" t="str">
        <f t="shared" si="2"/>
        <v>&lt;!-- 20 --&gt; &lt;path d="M300,300 L339,53 A300,300 0 0 0 261,53 Z" fill="#1C1A1D"/&gt;</v>
      </c>
      <c r="J6">
        <f t="shared" si="3"/>
        <v>339</v>
      </c>
      <c r="K6">
        <f t="shared" si="4"/>
        <v>53</v>
      </c>
      <c r="L6">
        <f t="shared" si="5"/>
        <v>336</v>
      </c>
      <c r="M6">
        <f t="shared" si="6"/>
        <v>74</v>
      </c>
      <c r="N6" t="str">
        <f>$C$36</f>
        <v>BB2A32</v>
      </c>
      <c r="O6" t="str">
        <f t="shared" si="10"/>
        <v>&lt;!--   double --&gt; &lt;path stroke="black" stroke-width="1" d="M336,74 L339,53 A300,300 0 0 0 261,53 L264,74 A300,300 0 0 1 336,74 Z" fill="#BB2A32"/&gt;</v>
      </c>
      <c r="P6">
        <f t="shared" si="11"/>
        <v>324</v>
      </c>
      <c r="Q6">
        <f t="shared" si="12"/>
        <v>149</v>
      </c>
      <c r="R6">
        <f t="shared" si="13"/>
        <v>321</v>
      </c>
      <c r="S6">
        <f t="shared" si="14"/>
        <v>169</v>
      </c>
      <c r="T6" t="str">
        <f>$C$36</f>
        <v>BB2A32</v>
      </c>
      <c r="U6" t="str">
        <f t="shared" si="15"/>
        <v>&lt;!--   triple --&gt; &lt;path stroke="black" stroke-width="1" d="M321,169 L324,149 A300,300 0 0 0 276,149 L279,169 A300,300 0 0 1 321,169 Z" fill="#BB2A32"/&gt;</v>
      </c>
      <c r="V6">
        <f t="shared" si="16"/>
        <v>385</v>
      </c>
      <c r="W6">
        <f t="shared" si="17"/>
        <v>38</v>
      </c>
      <c r="X6">
        <f t="shared" si="18"/>
        <v>72</v>
      </c>
      <c r="Y6">
        <f t="shared" si="19"/>
        <v>0</v>
      </c>
      <c r="Z6" t="str">
        <f t="shared" si="20"/>
        <v>&lt;!--   nombre --&gt; &lt;text font-family="Arial, Helvetica, sans-serif" font-size="24" text-anchor="middle" alignment-baseline="middle" fill="white" transform="translate(300, 25) rotate(0)"&gt;20&lt;/text&gt;</v>
      </c>
    </row>
    <row r="7" spans="1:26" x14ac:dyDescent="0.25">
      <c r="A7">
        <f t="shared" si="7"/>
        <v>6</v>
      </c>
      <c r="B7">
        <v>5</v>
      </c>
      <c r="C7">
        <f t="shared" si="8"/>
        <v>99</v>
      </c>
      <c r="D7">
        <f t="shared" si="9"/>
        <v>117</v>
      </c>
      <c r="F7" s="2">
        <f t="shared" si="0"/>
        <v>261</v>
      </c>
      <c r="G7" s="2">
        <f t="shared" si="1"/>
        <v>53</v>
      </c>
      <c r="H7" t="str">
        <f>$C$34</f>
        <v>EFDEAD</v>
      </c>
      <c r="I7" t="str">
        <f t="shared" si="2"/>
        <v>&lt;!-- 5 --&gt; &lt;path d="M300,300 L261,53 A300,300 0 0 0 187,77 Z" fill="#EFDEAD"/&gt;</v>
      </c>
      <c r="J7">
        <f t="shared" si="3"/>
        <v>261</v>
      </c>
      <c r="K7">
        <f t="shared" si="4"/>
        <v>53</v>
      </c>
      <c r="L7">
        <f t="shared" si="5"/>
        <v>264</v>
      </c>
      <c r="M7">
        <f t="shared" si="6"/>
        <v>74</v>
      </c>
      <c r="N7" t="str">
        <f>$C$37</f>
        <v>3E7A31</v>
      </c>
      <c r="O7" t="str">
        <f t="shared" si="10"/>
        <v>&lt;!--   double --&gt; &lt;path stroke="black" stroke-width="1" d="M264,74 L261,53 A300,300 0 0 0 187,77 L196,96 A300,300 0 0 1 264,74 Z" fill="#3E7A31"/&gt;</v>
      </c>
      <c r="P7">
        <f t="shared" si="11"/>
        <v>276</v>
      </c>
      <c r="Q7">
        <f t="shared" si="12"/>
        <v>149</v>
      </c>
      <c r="R7">
        <f t="shared" si="13"/>
        <v>279</v>
      </c>
      <c r="S7">
        <f t="shared" si="14"/>
        <v>169</v>
      </c>
      <c r="T7" t="str">
        <f>$C$37</f>
        <v>3E7A31</v>
      </c>
      <c r="U7" t="str">
        <f t="shared" si="15"/>
        <v>&lt;!--   triple --&gt; &lt;path stroke="black" stroke-width="1" d="M279,169 L276,149 A300,300 0 0 0 230,164 L240,182 A300,300 0 0 1 279,169 Z" fill="#3E7A31"/&gt;</v>
      </c>
      <c r="V7">
        <f t="shared" si="16"/>
        <v>300</v>
      </c>
      <c r="W7">
        <f t="shared" si="17"/>
        <v>25</v>
      </c>
      <c r="X7">
        <f t="shared" si="18"/>
        <v>90</v>
      </c>
      <c r="Y7">
        <f t="shared" si="19"/>
        <v>342</v>
      </c>
      <c r="Z7" t="str">
        <f t="shared" si="20"/>
        <v>&lt;!--   nombre --&gt; &lt;text font-family="Arial, Helvetica, sans-serif" font-size="24" text-anchor="middle" alignment-baseline="middle" fill="white" transform="translate(215, 38) rotate(342)"&gt;5&lt;/text&gt;</v>
      </c>
    </row>
    <row r="8" spans="1:26" x14ac:dyDescent="0.25">
      <c r="A8">
        <f t="shared" si="7"/>
        <v>7</v>
      </c>
      <c r="B8">
        <v>12</v>
      </c>
      <c r="C8">
        <f t="shared" si="8"/>
        <v>117</v>
      </c>
      <c r="D8">
        <f t="shared" si="9"/>
        <v>135</v>
      </c>
      <c r="F8" s="2">
        <f t="shared" si="0"/>
        <v>187</v>
      </c>
      <c r="G8" s="2">
        <f t="shared" si="1"/>
        <v>77</v>
      </c>
      <c r="H8" t="str">
        <f>$C$35</f>
        <v>1C1A1D</v>
      </c>
      <c r="I8" t="str">
        <f t="shared" si="2"/>
        <v>&lt;!-- 12 --&gt; &lt;path d="M300,300 L187,77 A300,300 0 0 0 123,123 Z" fill="#1C1A1D"/&gt;</v>
      </c>
      <c r="J8">
        <f t="shared" si="3"/>
        <v>187</v>
      </c>
      <c r="K8">
        <f t="shared" si="4"/>
        <v>77</v>
      </c>
      <c r="L8">
        <f t="shared" si="5"/>
        <v>196</v>
      </c>
      <c r="M8">
        <f t="shared" si="6"/>
        <v>96</v>
      </c>
      <c r="N8" t="str">
        <f>$C$36</f>
        <v>BB2A32</v>
      </c>
      <c r="O8" t="str">
        <f t="shared" si="10"/>
        <v>&lt;!--   double --&gt; &lt;path stroke="black" stroke-width="1" d="M196,96 L187,77 A300,300 0 0 0 123,123 L138,138 A300,300 0 0 1 196,96 Z" fill="#BB2A32"/&gt;</v>
      </c>
      <c r="P8">
        <f t="shared" si="11"/>
        <v>230</v>
      </c>
      <c r="Q8">
        <f t="shared" si="12"/>
        <v>164</v>
      </c>
      <c r="R8">
        <f t="shared" si="13"/>
        <v>240</v>
      </c>
      <c r="S8">
        <f t="shared" si="14"/>
        <v>182</v>
      </c>
      <c r="T8" t="str">
        <f>$C$36</f>
        <v>BB2A32</v>
      </c>
      <c r="U8" t="str">
        <f t="shared" si="15"/>
        <v>&lt;!--   triple --&gt; &lt;path stroke="black" stroke-width="1" d="M240,182 L230,164 A300,300 0 0 0 192,192 L206,206 A300,300 0 0 1 240,182 Z" fill="#BB2A32"/&gt;</v>
      </c>
      <c r="V8">
        <f t="shared" si="16"/>
        <v>215</v>
      </c>
      <c r="W8">
        <f t="shared" si="17"/>
        <v>38</v>
      </c>
      <c r="X8">
        <f t="shared" si="18"/>
        <v>108</v>
      </c>
      <c r="Y8">
        <f t="shared" si="19"/>
        <v>324</v>
      </c>
      <c r="Z8" t="str">
        <f t="shared" si="20"/>
        <v>&lt;!--   nombre --&gt; &lt;text font-family="Arial, Helvetica, sans-serif" font-size="24" text-anchor="middle" alignment-baseline="middle" fill="white" transform="translate(138, 78) rotate(324)"&gt;12&lt;/text&gt;</v>
      </c>
    </row>
    <row r="9" spans="1:26" x14ac:dyDescent="0.25">
      <c r="A9">
        <f t="shared" si="7"/>
        <v>8</v>
      </c>
      <c r="B9">
        <v>9</v>
      </c>
      <c r="C9">
        <f t="shared" si="8"/>
        <v>135</v>
      </c>
      <c r="D9">
        <f t="shared" si="9"/>
        <v>153</v>
      </c>
      <c r="F9" s="2">
        <f t="shared" si="0"/>
        <v>123</v>
      </c>
      <c r="G9" s="2">
        <f t="shared" si="1"/>
        <v>123</v>
      </c>
      <c r="H9" t="str">
        <f>$C$34</f>
        <v>EFDEAD</v>
      </c>
      <c r="I9" t="str">
        <f t="shared" si="2"/>
        <v>&lt;!-- 9 --&gt; &lt;path d="M300,300 L123,123 A300,300 0 0 0 77,187 Z" fill="#EFDEAD"/&gt;</v>
      </c>
      <c r="J9">
        <f t="shared" si="3"/>
        <v>123</v>
      </c>
      <c r="K9">
        <f t="shared" si="4"/>
        <v>123</v>
      </c>
      <c r="L9">
        <f t="shared" si="5"/>
        <v>138</v>
      </c>
      <c r="M9">
        <f t="shared" si="6"/>
        <v>138</v>
      </c>
      <c r="N9" t="str">
        <f>$C$37</f>
        <v>3E7A31</v>
      </c>
      <c r="O9" t="str">
        <f t="shared" si="10"/>
        <v>&lt;!--   double --&gt; &lt;path stroke="black" stroke-width="1" d="M138,138 L123,123 A300,300 0 0 0 77,187 L96,196 A300,300 0 0 1 138,138 Z" fill="#3E7A31"/&gt;</v>
      </c>
      <c r="P9">
        <f t="shared" si="11"/>
        <v>192</v>
      </c>
      <c r="Q9">
        <f t="shared" si="12"/>
        <v>192</v>
      </c>
      <c r="R9">
        <f t="shared" si="13"/>
        <v>206</v>
      </c>
      <c r="S9">
        <f t="shared" si="14"/>
        <v>206</v>
      </c>
      <c r="T9" t="str">
        <f>$C$37</f>
        <v>3E7A31</v>
      </c>
      <c r="U9" t="str">
        <f t="shared" si="15"/>
        <v>&lt;!--   triple --&gt; &lt;path stroke="black" stroke-width="1" d="M206,206 L192,192 A300,300 0 0 0 164,230 L182,240 A300,300 0 0 1 206,206 Z" fill="#3E7A31"/&gt;</v>
      </c>
      <c r="V9">
        <f t="shared" si="16"/>
        <v>138</v>
      </c>
      <c r="W9">
        <f t="shared" si="17"/>
        <v>78</v>
      </c>
      <c r="X9">
        <f t="shared" si="18"/>
        <v>126</v>
      </c>
      <c r="Y9">
        <f t="shared" si="19"/>
        <v>306</v>
      </c>
      <c r="Z9" t="str">
        <f t="shared" si="20"/>
        <v>&lt;!--   nombre --&gt; &lt;text font-family="Arial, Helvetica, sans-serif" font-size="24" text-anchor="middle" alignment-baseline="middle" fill="white" transform="translate(78, 138) rotate(306)"&gt;9&lt;/text&gt;</v>
      </c>
    </row>
    <row r="10" spans="1:26" x14ac:dyDescent="0.25">
      <c r="A10">
        <f t="shared" si="7"/>
        <v>9</v>
      </c>
      <c r="B10">
        <v>14</v>
      </c>
      <c r="C10">
        <f t="shared" si="8"/>
        <v>153</v>
      </c>
      <c r="D10">
        <f t="shared" si="9"/>
        <v>171</v>
      </c>
      <c r="F10" s="2">
        <f t="shared" si="0"/>
        <v>77</v>
      </c>
      <c r="G10" s="2">
        <f t="shared" si="1"/>
        <v>187</v>
      </c>
      <c r="H10" t="str">
        <f>$C$35</f>
        <v>1C1A1D</v>
      </c>
      <c r="I10" t="str">
        <f t="shared" si="2"/>
        <v>&lt;!-- 14 --&gt; &lt;path d="M300,300 L77,187 A300,300 0 0 0 53,261 Z" fill="#1C1A1D"/&gt;</v>
      </c>
      <c r="J10">
        <f t="shared" si="3"/>
        <v>77</v>
      </c>
      <c r="K10">
        <f t="shared" si="4"/>
        <v>187</v>
      </c>
      <c r="L10">
        <f t="shared" si="5"/>
        <v>96</v>
      </c>
      <c r="M10">
        <f t="shared" si="6"/>
        <v>196</v>
      </c>
      <c r="N10" t="str">
        <f>$C$36</f>
        <v>BB2A32</v>
      </c>
      <c r="O10" t="str">
        <f t="shared" si="10"/>
        <v>&lt;!--   double --&gt; &lt;path stroke="black" stroke-width="1" d="M96,196 L77,187 A300,300 0 0 0 53,261 L74,264 A300,300 0 0 1 96,196 Z" fill="#BB2A32"/&gt;</v>
      </c>
      <c r="P10">
        <f t="shared" si="11"/>
        <v>164</v>
      </c>
      <c r="Q10">
        <f t="shared" si="12"/>
        <v>230</v>
      </c>
      <c r="R10">
        <f t="shared" si="13"/>
        <v>182</v>
      </c>
      <c r="S10">
        <f t="shared" si="14"/>
        <v>240</v>
      </c>
      <c r="T10" t="str">
        <f>$C$36</f>
        <v>BB2A32</v>
      </c>
      <c r="U10" t="str">
        <f t="shared" si="15"/>
        <v>&lt;!--   triple --&gt; &lt;path stroke="black" stroke-width="1" d="M182,240 L164,230 A300,300 0 0 0 149,276 L169,279 A300,300 0 0 1 182,240 Z" fill="#BB2A32"/&gt;</v>
      </c>
      <c r="V10">
        <f t="shared" si="16"/>
        <v>78</v>
      </c>
      <c r="W10">
        <f t="shared" si="17"/>
        <v>138</v>
      </c>
      <c r="X10">
        <f t="shared" si="18"/>
        <v>144</v>
      </c>
      <c r="Y10">
        <f t="shared" si="19"/>
        <v>288</v>
      </c>
      <c r="Z10" t="str">
        <f t="shared" si="20"/>
        <v>&lt;!--   nombre --&gt; &lt;text font-family="Arial, Helvetica, sans-serif" font-size="24" text-anchor="middle" alignment-baseline="middle" fill="white" transform="translate(38, 215) rotate(288)"&gt;14&lt;/text&gt;</v>
      </c>
    </row>
    <row r="11" spans="1:26" x14ac:dyDescent="0.25">
      <c r="A11">
        <f t="shared" si="7"/>
        <v>10</v>
      </c>
      <c r="B11">
        <v>11</v>
      </c>
      <c r="C11">
        <f t="shared" si="8"/>
        <v>171</v>
      </c>
      <c r="D11">
        <f t="shared" si="9"/>
        <v>189</v>
      </c>
      <c r="F11" s="2">
        <f t="shared" si="0"/>
        <v>53</v>
      </c>
      <c r="G11" s="2">
        <f t="shared" si="1"/>
        <v>261</v>
      </c>
      <c r="H11" t="str">
        <f>$C$34</f>
        <v>EFDEAD</v>
      </c>
      <c r="I11" t="str">
        <f t="shared" si="2"/>
        <v>&lt;!-- 11 --&gt; &lt;path d="M300,300 L53,261 A300,300 0 0 0 53,339 Z" fill="#EFDEAD"/&gt;</v>
      </c>
      <c r="J11">
        <f t="shared" si="3"/>
        <v>53</v>
      </c>
      <c r="K11">
        <f t="shared" si="4"/>
        <v>261</v>
      </c>
      <c r="L11">
        <f t="shared" si="5"/>
        <v>74</v>
      </c>
      <c r="M11">
        <f t="shared" si="6"/>
        <v>264</v>
      </c>
      <c r="N11" t="str">
        <f>$C$37</f>
        <v>3E7A31</v>
      </c>
      <c r="O11" t="str">
        <f t="shared" si="10"/>
        <v>&lt;!--   double --&gt; &lt;path stroke="black" stroke-width="1" d="M74,264 L53,261 A300,300 0 0 0 53,339 L74,336 A300,300 0 0 1 74,264 Z" fill="#3E7A31"/&gt;</v>
      </c>
      <c r="P11">
        <f t="shared" si="11"/>
        <v>149</v>
      </c>
      <c r="Q11">
        <f t="shared" si="12"/>
        <v>276</v>
      </c>
      <c r="R11">
        <f t="shared" si="13"/>
        <v>169</v>
      </c>
      <c r="S11">
        <f t="shared" si="14"/>
        <v>279</v>
      </c>
      <c r="T11" t="str">
        <f>$C$37</f>
        <v>3E7A31</v>
      </c>
      <c r="U11" t="str">
        <f t="shared" si="15"/>
        <v>&lt;!--   triple --&gt; &lt;path stroke="black" stroke-width="1" d="M169,279 L149,276 A300,300 0 0 0 149,324 L169,321 A300,300 0 0 1 169,279 Z" fill="#3E7A31"/&gt;</v>
      </c>
      <c r="V11">
        <f t="shared" si="16"/>
        <v>38</v>
      </c>
      <c r="W11">
        <f t="shared" si="17"/>
        <v>215</v>
      </c>
      <c r="X11">
        <f t="shared" si="18"/>
        <v>162</v>
      </c>
      <c r="Y11">
        <f t="shared" si="19"/>
        <v>270</v>
      </c>
      <c r="Z11" t="str">
        <f t="shared" si="20"/>
        <v>&lt;!--   nombre --&gt; &lt;text font-family="Arial, Helvetica, sans-serif" font-size="24" text-anchor="middle" alignment-baseline="middle" fill="white" transform="translate(25, 300) rotate(270)"&gt;11&lt;/text&gt;</v>
      </c>
    </row>
    <row r="12" spans="1:26" x14ac:dyDescent="0.25">
      <c r="A12">
        <f t="shared" si="7"/>
        <v>11</v>
      </c>
      <c r="B12">
        <v>8</v>
      </c>
      <c r="C12">
        <f t="shared" si="8"/>
        <v>189</v>
      </c>
      <c r="D12">
        <f t="shared" si="9"/>
        <v>207</v>
      </c>
      <c r="F12" s="2">
        <f t="shared" si="0"/>
        <v>53</v>
      </c>
      <c r="G12" s="2">
        <f t="shared" si="1"/>
        <v>339</v>
      </c>
      <c r="H12" t="str">
        <f>$C$35</f>
        <v>1C1A1D</v>
      </c>
      <c r="I12" t="str">
        <f t="shared" si="2"/>
        <v>&lt;!-- 8 --&gt; &lt;path d="M300,300 L53,339 A300,300 0 0 0 77,413 Z" fill="#1C1A1D"/&gt;</v>
      </c>
      <c r="J12">
        <f t="shared" si="3"/>
        <v>53</v>
      </c>
      <c r="K12">
        <f t="shared" si="4"/>
        <v>339</v>
      </c>
      <c r="L12">
        <f t="shared" si="5"/>
        <v>74</v>
      </c>
      <c r="M12">
        <f t="shared" si="6"/>
        <v>336</v>
      </c>
      <c r="N12" t="str">
        <f>$C$36</f>
        <v>BB2A32</v>
      </c>
      <c r="O12" t="str">
        <f t="shared" si="10"/>
        <v>&lt;!--   double --&gt; &lt;path stroke="black" stroke-width="1" d="M74,336 L53,339 A300,300 0 0 0 77,413 L96,404 A300,300 0 0 1 74,336 Z" fill="#BB2A32"/&gt;</v>
      </c>
      <c r="P12">
        <f t="shared" si="11"/>
        <v>149</v>
      </c>
      <c r="Q12">
        <f t="shared" si="12"/>
        <v>324</v>
      </c>
      <c r="R12">
        <f t="shared" si="13"/>
        <v>169</v>
      </c>
      <c r="S12">
        <f t="shared" si="14"/>
        <v>321</v>
      </c>
      <c r="T12" t="str">
        <f>$C$36</f>
        <v>BB2A32</v>
      </c>
      <c r="U12" t="str">
        <f t="shared" si="15"/>
        <v>&lt;!--   triple --&gt; &lt;path stroke="black" stroke-width="1" d="M169,321 L149,324 A300,300 0 0 0 164,370 L182,360 A300,300 0 0 1 169,321 Z" fill="#BB2A32"/&gt;</v>
      </c>
      <c r="V12">
        <f t="shared" si="16"/>
        <v>25</v>
      </c>
      <c r="W12">
        <f t="shared" si="17"/>
        <v>300</v>
      </c>
      <c r="X12">
        <f t="shared" si="18"/>
        <v>180</v>
      </c>
      <c r="Y12">
        <f t="shared" si="19"/>
        <v>252</v>
      </c>
      <c r="Z12" t="str">
        <f t="shared" si="20"/>
        <v>&lt;!--   nombre --&gt; &lt;text font-family="Arial, Helvetica, sans-serif" font-size="24" text-anchor="middle" alignment-baseline="middle" fill="white" transform="translate(38, 385) rotate(252)"&gt;8&lt;/text&gt;</v>
      </c>
    </row>
    <row r="13" spans="1:26" x14ac:dyDescent="0.25">
      <c r="A13">
        <f t="shared" si="7"/>
        <v>12</v>
      </c>
      <c r="B13">
        <v>16</v>
      </c>
      <c r="C13">
        <f t="shared" si="8"/>
        <v>207</v>
      </c>
      <c r="D13">
        <f t="shared" si="9"/>
        <v>225</v>
      </c>
      <c r="F13" s="2">
        <f t="shared" si="0"/>
        <v>77</v>
      </c>
      <c r="G13" s="2">
        <f t="shared" si="1"/>
        <v>413</v>
      </c>
      <c r="H13" t="str">
        <f>$C$34</f>
        <v>EFDEAD</v>
      </c>
      <c r="I13" t="str">
        <f t="shared" si="2"/>
        <v>&lt;!-- 16 --&gt; &lt;path d="M300,300 L77,413 A300,300 0 0 0 123,477 Z" fill="#EFDEAD"/&gt;</v>
      </c>
      <c r="J13">
        <f t="shared" si="3"/>
        <v>77</v>
      </c>
      <c r="K13">
        <f t="shared" si="4"/>
        <v>413</v>
      </c>
      <c r="L13">
        <f t="shared" si="5"/>
        <v>96</v>
      </c>
      <c r="M13">
        <f t="shared" si="6"/>
        <v>404</v>
      </c>
      <c r="N13" t="str">
        <f>$C$37</f>
        <v>3E7A31</v>
      </c>
      <c r="O13" t="str">
        <f t="shared" si="10"/>
        <v>&lt;!--   double --&gt; &lt;path stroke="black" stroke-width="1" d="M96,404 L77,413 A300,300 0 0 0 123,477 L138,462 A300,300 0 0 1 96,404 Z" fill="#3E7A31"/&gt;</v>
      </c>
      <c r="P13">
        <f t="shared" si="11"/>
        <v>164</v>
      </c>
      <c r="Q13">
        <f t="shared" si="12"/>
        <v>370</v>
      </c>
      <c r="R13">
        <f t="shared" si="13"/>
        <v>182</v>
      </c>
      <c r="S13">
        <f t="shared" si="14"/>
        <v>360</v>
      </c>
      <c r="T13" t="str">
        <f>$C$37</f>
        <v>3E7A31</v>
      </c>
      <c r="U13" t="str">
        <f t="shared" si="15"/>
        <v>&lt;!--   triple --&gt; &lt;path stroke="black" stroke-width="1" d="M182,360 L164,370 A300,300 0 0 0 192,408 L206,394 A300,300 0 0 1 182,360 Z" fill="#3E7A31"/&gt;</v>
      </c>
      <c r="V13">
        <f t="shared" si="16"/>
        <v>38</v>
      </c>
      <c r="W13">
        <f t="shared" si="17"/>
        <v>385</v>
      </c>
      <c r="X13">
        <f t="shared" si="18"/>
        <v>198</v>
      </c>
      <c r="Y13">
        <f t="shared" si="19"/>
        <v>234</v>
      </c>
      <c r="Z13" t="str">
        <f t="shared" si="20"/>
        <v>&lt;!--   nombre --&gt; &lt;text font-family="Arial, Helvetica, sans-serif" font-size="24" text-anchor="middle" alignment-baseline="middle" fill="white" transform="translate(78, 462) rotate(234)"&gt;16&lt;/text&gt;</v>
      </c>
    </row>
    <row r="14" spans="1:26" x14ac:dyDescent="0.25">
      <c r="A14">
        <f t="shared" si="7"/>
        <v>13</v>
      </c>
      <c r="B14">
        <v>7</v>
      </c>
      <c r="C14">
        <f t="shared" si="8"/>
        <v>225</v>
      </c>
      <c r="D14">
        <f t="shared" si="9"/>
        <v>243</v>
      </c>
      <c r="F14" s="2">
        <f t="shared" si="0"/>
        <v>123</v>
      </c>
      <c r="G14" s="2">
        <f t="shared" si="1"/>
        <v>477</v>
      </c>
      <c r="H14" t="str">
        <f>$C$35</f>
        <v>1C1A1D</v>
      </c>
      <c r="I14" t="str">
        <f t="shared" si="2"/>
        <v>&lt;!-- 7 --&gt; &lt;path d="M300,300 L123,477 A300,300 0 0 0 187,523 Z" fill="#1C1A1D"/&gt;</v>
      </c>
      <c r="J14">
        <f t="shared" si="3"/>
        <v>123</v>
      </c>
      <c r="K14">
        <f t="shared" si="4"/>
        <v>477</v>
      </c>
      <c r="L14">
        <f t="shared" si="5"/>
        <v>138</v>
      </c>
      <c r="M14">
        <f t="shared" si="6"/>
        <v>462</v>
      </c>
      <c r="N14" t="str">
        <f>$C$36</f>
        <v>BB2A32</v>
      </c>
      <c r="O14" t="str">
        <f t="shared" si="10"/>
        <v>&lt;!--   double --&gt; &lt;path stroke="black" stroke-width="1" d="M138,462 L123,477 A300,300 0 0 0 187,523 L196,504 A300,300 0 0 1 138,462 Z" fill="#BB2A32"/&gt;</v>
      </c>
      <c r="P14">
        <f t="shared" si="11"/>
        <v>192</v>
      </c>
      <c r="Q14">
        <f t="shared" si="12"/>
        <v>408</v>
      </c>
      <c r="R14">
        <f t="shared" si="13"/>
        <v>206</v>
      </c>
      <c r="S14">
        <f t="shared" si="14"/>
        <v>394</v>
      </c>
      <c r="T14" t="str">
        <f>$C$36</f>
        <v>BB2A32</v>
      </c>
      <c r="U14" t="str">
        <f t="shared" si="15"/>
        <v>&lt;!--   triple --&gt; &lt;path stroke="black" stroke-width="1" d="M206,394 L192,408 A300,300 0 0 0 230,436 L240,418 A300,300 0 0 1 206,394 Z" fill="#BB2A32"/&gt;</v>
      </c>
      <c r="V14">
        <f t="shared" si="16"/>
        <v>78</v>
      </c>
      <c r="W14">
        <f t="shared" si="17"/>
        <v>462</v>
      </c>
      <c r="X14">
        <f t="shared" si="18"/>
        <v>216</v>
      </c>
      <c r="Y14">
        <f t="shared" si="19"/>
        <v>216</v>
      </c>
      <c r="Z14" t="str">
        <f t="shared" si="20"/>
        <v>&lt;!--   nombre --&gt; &lt;text font-family="Arial, Helvetica, sans-serif" font-size="24" text-anchor="middle" alignment-baseline="middle" fill="white" transform="translate(138, 522) rotate(216)"&gt;7&lt;/text&gt;</v>
      </c>
    </row>
    <row r="15" spans="1:26" x14ac:dyDescent="0.25">
      <c r="A15">
        <f t="shared" si="7"/>
        <v>14</v>
      </c>
      <c r="B15">
        <v>19</v>
      </c>
      <c r="C15">
        <f t="shared" si="8"/>
        <v>243</v>
      </c>
      <c r="D15">
        <f t="shared" si="9"/>
        <v>261</v>
      </c>
      <c r="F15" s="2">
        <f t="shared" si="0"/>
        <v>187</v>
      </c>
      <c r="G15" s="2">
        <f t="shared" si="1"/>
        <v>523</v>
      </c>
      <c r="H15" t="str">
        <f>$C$34</f>
        <v>EFDEAD</v>
      </c>
      <c r="I15" t="str">
        <f t="shared" si="2"/>
        <v>&lt;!-- 19 --&gt; &lt;path d="M300,300 L187,523 A300,300 0 0 0 261,547 Z" fill="#EFDEAD"/&gt;</v>
      </c>
      <c r="J15">
        <f t="shared" si="3"/>
        <v>187</v>
      </c>
      <c r="K15">
        <f t="shared" si="4"/>
        <v>523</v>
      </c>
      <c r="L15">
        <f t="shared" si="5"/>
        <v>196</v>
      </c>
      <c r="M15">
        <f t="shared" si="6"/>
        <v>504</v>
      </c>
      <c r="N15" t="str">
        <f>$C$37</f>
        <v>3E7A31</v>
      </c>
      <c r="O15" t="str">
        <f t="shared" si="10"/>
        <v>&lt;!--   double --&gt; &lt;path stroke="black" stroke-width="1" d="M196,504 L187,523 A300,300 0 0 0 261,547 L264,526 A300,300 0 0 1 196,504 Z" fill="#3E7A31"/&gt;</v>
      </c>
      <c r="P15">
        <f t="shared" si="11"/>
        <v>230</v>
      </c>
      <c r="Q15">
        <f t="shared" si="12"/>
        <v>436</v>
      </c>
      <c r="R15">
        <f t="shared" si="13"/>
        <v>240</v>
      </c>
      <c r="S15">
        <f t="shared" si="14"/>
        <v>418</v>
      </c>
      <c r="T15" t="str">
        <f>$C$37</f>
        <v>3E7A31</v>
      </c>
      <c r="U15" t="str">
        <f t="shared" si="15"/>
        <v>&lt;!--   triple --&gt; &lt;path stroke="black" stroke-width="1" d="M240,418 L230,436 A300,300 0 0 0 276,451 L279,431 A300,300 0 0 1 240,418 Z" fill="#3E7A31"/&gt;</v>
      </c>
      <c r="V15">
        <f t="shared" si="16"/>
        <v>138</v>
      </c>
      <c r="W15">
        <f t="shared" si="17"/>
        <v>522</v>
      </c>
      <c r="X15">
        <f t="shared" si="18"/>
        <v>234</v>
      </c>
      <c r="Y15">
        <f t="shared" si="19"/>
        <v>198</v>
      </c>
      <c r="Z15" t="str">
        <f t="shared" si="20"/>
        <v>&lt;!--   nombre --&gt; &lt;text font-family="Arial, Helvetica, sans-serif" font-size="24" text-anchor="middle" alignment-baseline="middle" fill="white" transform="translate(215, 562) rotate(198)"&gt;19&lt;/text&gt;</v>
      </c>
    </row>
    <row r="16" spans="1:26" x14ac:dyDescent="0.25">
      <c r="A16">
        <f t="shared" si="7"/>
        <v>15</v>
      </c>
      <c r="B16">
        <v>3</v>
      </c>
      <c r="C16">
        <f t="shared" si="8"/>
        <v>261</v>
      </c>
      <c r="D16">
        <f t="shared" si="9"/>
        <v>279</v>
      </c>
      <c r="F16" s="2">
        <f t="shared" si="0"/>
        <v>261</v>
      </c>
      <c r="G16" s="2">
        <f t="shared" si="1"/>
        <v>547</v>
      </c>
      <c r="H16" t="str">
        <f>$C$35</f>
        <v>1C1A1D</v>
      </c>
      <c r="I16" t="str">
        <f t="shared" si="2"/>
        <v>&lt;!-- 3 --&gt; &lt;path d="M300,300 L261,547 A300,300 0 0 0 339,547 Z" fill="#1C1A1D"/&gt;</v>
      </c>
      <c r="J16">
        <f t="shared" si="3"/>
        <v>261</v>
      </c>
      <c r="K16">
        <f t="shared" si="4"/>
        <v>547</v>
      </c>
      <c r="L16">
        <f t="shared" si="5"/>
        <v>264</v>
      </c>
      <c r="M16">
        <f t="shared" si="6"/>
        <v>526</v>
      </c>
      <c r="N16" t="str">
        <f>$C$36</f>
        <v>BB2A32</v>
      </c>
      <c r="O16" t="str">
        <f t="shared" si="10"/>
        <v>&lt;!--   double --&gt; &lt;path stroke="black" stroke-width="1" d="M264,526 L261,547 A300,300 0 0 0 339,547 L336,526 A300,300 0 0 1 264,526 Z" fill="#BB2A32"/&gt;</v>
      </c>
      <c r="P16">
        <f t="shared" si="11"/>
        <v>276</v>
      </c>
      <c r="Q16">
        <f t="shared" si="12"/>
        <v>451</v>
      </c>
      <c r="R16">
        <f t="shared" si="13"/>
        <v>279</v>
      </c>
      <c r="S16">
        <f t="shared" si="14"/>
        <v>431</v>
      </c>
      <c r="T16" t="str">
        <f>$C$36</f>
        <v>BB2A32</v>
      </c>
      <c r="U16" t="str">
        <f t="shared" si="15"/>
        <v>&lt;!--   triple --&gt; &lt;path stroke="black" stroke-width="1" d="M279,431 L276,451 A300,300 0 0 0 324,451 L321,431 A300,300 0 0 1 279,431 Z" fill="#BB2A32"/&gt;</v>
      </c>
      <c r="V16">
        <f t="shared" si="16"/>
        <v>215</v>
      </c>
      <c r="W16">
        <f t="shared" si="17"/>
        <v>562</v>
      </c>
      <c r="X16">
        <f t="shared" si="18"/>
        <v>252</v>
      </c>
      <c r="Y16">
        <f t="shared" si="19"/>
        <v>180</v>
      </c>
      <c r="Z16" t="str">
        <f t="shared" si="20"/>
        <v>&lt;!--   nombre --&gt; &lt;text font-family="Arial, Helvetica, sans-serif" font-size="24" text-anchor="middle" alignment-baseline="middle" fill="white" transform="translate(300, 575) rotate(180)"&gt;3&lt;/text&gt;</v>
      </c>
    </row>
    <row r="17" spans="1:26" x14ac:dyDescent="0.25">
      <c r="A17">
        <f t="shared" si="7"/>
        <v>16</v>
      </c>
      <c r="B17">
        <v>17</v>
      </c>
      <c r="C17">
        <f t="shared" si="8"/>
        <v>279</v>
      </c>
      <c r="D17">
        <f t="shared" si="9"/>
        <v>297</v>
      </c>
      <c r="F17" s="2">
        <f t="shared" si="0"/>
        <v>339</v>
      </c>
      <c r="G17" s="2">
        <f t="shared" si="1"/>
        <v>547</v>
      </c>
      <c r="H17" t="str">
        <f>$C$34</f>
        <v>EFDEAD</v>
      </c>
      <c r="I17" t="str">
        <f t="shared" si="2"/>
        <v>&lt;!-- 17 --&gt; &lt;path d="M300,300 L339,547 A300,300 0 0 0 413,523 Z" fill="#EFDEAD"/&gt;</v>
      </c>
      <c r="J17">
        <f t="shared" si="3"/>
        <v>339</v>
      </c>
      <c r="K17">
        <f t="shared" si="4"/>
        <v>547</v>
      </c>
      <c r="L17">
        <f t="shared" si="5"/>
        <v>336</v>
      </c>
      <c r="M17">
        <f t="shared" si="6"/>
        <v>526</v>
      </c>
      <c r="N17" t="str">
        <f>$C$37</f>
        <v>3E7A31</v>
      </c>
      <c r="O17" t="str">
        <f t="shared" si="10"/>
        <v>&lt;!--   double --&gt; &lt;path stroke="black" stroke-width="1" d="M336,526 L339,547 A300,300 0 0 0 413,523 L404,504 A300,300 0 0 1 336,526 Z" fill="#3E7A31"/&gt;</v>
      </c>
      <c r="P17">
        <f t="shared" si="11"/>
        <v>324</v>
      </c>
      <c r="Q17">
        <f t="shared" si="12"/>
        <v>451</v>
      </c>
      <c r="R17">
        <f t="shared" si="13"/>
        <v>321</v>
      </c>
      <c r="S17">
        <f t="shared" si="14"/>
        <v>431</v>
      </c>
      <c r="T17" t="str">
        <f>$C$37</f>
        <v>3E7A31</v>
      </c>
      <c r="U17" t="str">
        <f t="shared" si="15"/>
        <v>&lt;!--   triple --&gt; &lt;path stroke="black" stroke-width="1" d="M321,431 L324,451 A300,300 0 0 0 370,436 L360,418 A300,300 0 0 1 321,431 Z" fill="#3E7A31"/&gt;</v>
      </c>
      <c r="V17">
        <f t="shared" si="16"/>
        <v>300</v>
      </c>
      <c r="W17">
        <f t="shared" si="17"/>
        <v>575</v>
      </c>
      <c r="X17">
        <f t="shared" si="18"/>
        <v>270</v>
      </c>
      <c r="Y17">
        <f t="shared" si="19"/>
        <v>162</v>
      </c>
      <c r="Z17" t="str">
        <f t="shared" si="20"/>
        <v>&lt;!--   nombre --&gt; &lt;text font-family="Arial, Helvetica, sans-serif" font-size="24" text-anchor="middle" alignment-baseline="middle" fill="white" transform="translate(385, 562) rotate(162)"&gt;17&lt;/text&gt;</v>
      </c>
    </row>
    <row r="18" spans="1:26" x14ac:dyDescent="0.25">
      <c r="A18">
        <f t="shared" si="7"/>
        <v>17</v>
      </c>
      <c r="B18">
        <v>2</v>
      </c>
      <c r="C18">
        <f t="shared" si="8"/>
        <v>297</v>
      </c>
      <c r="D18">
        <f t="shared" si="9"/>
        <v>315</v>
      </c>
      <c r="F18" s="2">
        <f t="shared" si="0"/>
        <v>413</v>
      </c>
      <c r="G18" s="2">
        <f t="shared" si="1"/>
        <v>523</v>
      </c>
      <c r="H18" t="str">
        <f>$C$35</f>
        <v>1C1A1D</v>
      </c>
      <c r="I18" t="str">
        <f t="shared" si="2"/>
        <v>&lt;!-- 2 --&gt; &lt;path d="M300,300 L413,523 A300,300 0 0 0 477,477 Z" fill="#1C1A1D"/&gt;</v>
      </c>
      <c r="J18">
        <f t="shared" si="3"/>
        <v>413</v>
      </c>
      <c r="K18">
        <f t="shared" si="4"/>
        <v>523</v>
      </c>
      <c r="L18">
        <f t="shared" si="5"/>
        <v>404</v>
      </c>
      <c r="M18">
        <f t="shared" si="6"/>
        <v>504</v>
      </c>
      <c r="N18" t="str">
        <f>$C$36</f>
        <v>BB2A32</v>
      </c>
      <c r="O18" t="str">
        <f t="shared" si="10"/>
        <v>&lt;!--   double --&gt; &lt;path stroke="black" stroke-width="1" d="M404,504 L413,523 A300,300 0 0 0 477,477 L462,462 A300,300 0 0 1 404,504 Z" fill="#BB2A32"/&gt;</v>
      </c>
      <c r="P18">
        <f t="shared" si="11"/>
        <v>370</v>
      </c>
      <c r="Q18">
        <f t="shared" si="12"/>
        <v>436</v>
      </c>
      <c r="R18">
        <f t="shared" si="13"/>
        <v>360</v>
      </c>
      <c r="S18">
        <f t="shared" si="14"/>
        <v>418</v>
      </c>
      <c r="T18" t="str">
        <f>$C$36</f>
        <v>BB2A32</v>
      </c>
      <c r="U18" t="str">
        <f t="shared" si="15"/>
        <v>&lt;!--   triple --&gt; &lt;path stroke="black" stroke-width="1" d="M360,418 L370,436 A300,300 0 0 0 408,408 L394,394 A300,300 0 0 1 360,418 Z" fill="#BB2A32"/&gt;</v>
      </c>
      <c r="V18">
        <f t="shared" si="16"/>
        <v>385</v>
      </c>
      <c r="W18">
        <f t="shared" si="17"/>
        <v>562</v>
      </c>
      <c r="X18">
        <f t="shared" si="18"/>
        <v>288</v>
      </c>
      <c r="Y18">
        <f t="shared" si="19"/>
        <v>144</v>
      </c>
      <c r="Z18" t="str">
        <f t="shared" si="20"/>
        <v>&lt;!--   nombre --&gt; &lt;text font-family="Arial, Helvetica, sans-serif" font-size="24" text-anchor="middle" alignment-baseline="middle" fill="white" transform="translate(462, 522) rotate(144)"&gt;2&lt;/text&gt;</v>
      </c>
    </row>
    <row r="19" spans="1:26" x14ac:dyDescent="0.25">
      <c r="A19">
        <f t="shared" si="7"/>
        <v>18</v>
      </c>
      <c r="B19">
        <v>15</v>
      </c>
      <c r="C19">
        <f t="shared" si="8"/>
        <v>315</v>
      </c>
      <c r="D19">
        <f t="shared" si="9"/>
        <v>333</v>
      </c>
      <c r="F19" s="2">
        <f t="shared" si="0"/>
        <v>477</v>
      </c>
      <c r="G19" s="2">
        <f t="shared" si="1"/>
        <v>477</v>
      </c>
      <c r="H19" t="str">
        <f>$C$34</f>
        <v>EFDEAD</v>
      </c>
      <c r="I19" t="str">
        <f t="shared" si="2"/>
        <v>&lt;!-- 15 --&gt; &lt;path d="M300,300 L477,477 A300,300 0 0 0 523,413 Z" fill="#EFDEAD"/&gt;</v>
      </c>
      <c r="J19">
        <f t="shared" si="3"/>
        <v>477</v>
      </c>
      <c r="K19">
        <f t="shared" si="4"/>
        <v>477</v>
      </c>
      <c r="L19">
        <f t="shared" si="5"/>
        <v>462</v>
      </c>
      <c r="M19">
        <f t="shared" si="6"/>
        <v>462</v>
      </c>
      <c r="N19" t="str">
        <f>$C$37</f>
        <v>3E7A31</v>
      </c>
      <c r="O19" t="str">
        <f t="shared" si="10"/>
        <v>&lt;!--   double --&gt; &lt;path stroke="black" stroke-width="1" d="M462,462 L477,477 A300,300 0 0 0 523,413 L504,404 A300,300 0 0 1 462,462 Z" fill="#3E7A31"/&gt;</v>
      </c>
      <c r="P19">
        <f t="shared" si="11"/>
        <v>408</v>
      </c>
      <c r="Q19">
        <f t="shared" si="12"/>
        <v>408</v>
      </c>
      <c r="R19">
        <f t="shared" si="13"/>
        <v>394</v>
      </c>
      <c r="S19">
        <f t="shared" si="14"/>
        <v>394</v>
      </c>
      <c r="T19" t="str">
        <f>$C$37</f>
        <v>3E7A31</v>
      </c>
      <c r="U19" t="str">
        <f t="shared" si="15"/>
        <v>&lt;!--   triple --&gt; &lt;path stroke="black" stroke-width="1" d="M394,394 L408,408 A300,300 0 0 0 436,370 L418,360 A300,300 0 0 1 394,394 Z" fill="#3E7A31"/&gt;</v>
      </c>
      <c r="V19">
        <f t="shared" si="16"/>
        <v>462</v>
      </c>
      <c r="W19">
        <f t="shared" si="17"/>
        <v>522</v>
      </c>
      <c r="X19">
        <f t="shared" si="18"/>
        <v>306</v>
      </c>
      <c r="Y19">
        <f t="shared" si="19"/>
        <v>126</v>
      </c>
      <c r="Z19" t="str">
        <f t="shared" si="20"/>
        <v>&lt;!--   nombre --&gt; &lt;text font-family="Arial, Helvetica, sans-serif" font-size="24" text-anchor="middle" alignment-baseline="middle" fill="white" transform="translate(522, 462) rotate(126)"&gt;15&lt;/text&gt;</v>
      </c>
    </row>
    <row r="20" spans="1:26" x14ac:dyDescent="0.25">
      <c r="A20">
        <f t="shared" si="7"/>
        <v>19</v>
      </c>
      <c r="B20">
        <v>10</v>
      </c>
      <c r="C20">
        <f t="shared" si="8"/>
        <v>333</v>
      </c>
      <c r="D20">
        <f t="shared" si="9"/>
        <v>351</v>
      </c>
      <c r="F20" s="2">
        <f t="shared" si="0"/>
        <v>523</v>
      </c>
      <c r="G20" s="2">
        <f t="shared" si="1"/>
        <v>413</v>
      </c>
      <c r="H20" t="str">
        <f>$C$35</f>
        <v>1C1A1D</v>
      </c>
      <c r="I20" t="str">
        <f t="shared" si="2"/>
        <v>&lt;!-- 10 --&gt; &lt;path d="M300,300 L523,413 A300,300 0 0 0 547,339 Z" fill="#1C1A1D"/&gt;</v>
      </c>
      <c r="J20">
        <f t="shared" si="3"/>
        <v>523</v>
      </c>
      <c r="K20">
        <f t="shared" si="4"/>
        <v>413</v>
      </c>
      <c r="L20">
        <f t="shared" si="5"/>
        <v>504</v>
      </c>
      <c r="M20">
        <f t="shared" si="6"/>
        <v>404</v>
      </c>
      <c r="N20" t="str">
        <f>$C$36</f>
        <v>BB2A32</v>
      </c>
      <c r="O20" t="str">
        <f t="shared" si="10"/>
        <v>&lt;!--   double --&gt; &lt;path stroke="black" stroke-width="1" d="M504,404 L523,413 A300,300 0 0 0 547,339 L526,336 A300,300 0 0 1 504,404 Z" fill="#BB2A32"/&gt;</v>
      </c>
      <c r="P20">
        <f t="shared" si="11"/>
        <v>436</v>
      </c>
      <c r="Q20">
        <f t="shared" si="12"/>
        <v>370</v>
      </c>
      <c r="R20">
        <f t="shared" si="13"/>
        <v>418</v>
      </c>
      <c r="S20">
        <f t="shared" si="14"/>
        <v>360</v>
      </c>
      <c r="T20" t="str">
        <f>$C$36</f>
        <v>BB2A32</v>
      </c>
      <c r="U20" t="str">
        <f t="shared" si="15"/>
        <v>&lt;!--   triple --&gt; &lt;path stroke="black" stroke-width="1" d="M418,360 L436,370 A300,300 0 0 0 451,324 L431,321 A300,300 0 0 1 418,360 Z" fill="#BB2A32"/&gt;</v>
      </c>
      <c r="V20">
        <f t="shared" si="16"/>
        <v>522</v>
      </c>
      <c r="W20">
        <f t="shared" si="17"/>
        <v>462</v>
      </c>
      <c r="X20">
        <f t="shared" si="18"/>
        <v>324</v>
      </c>
      <c r="Y20">
        <f t="shared" si="19"/>
        <v>108</v>
      </c>
      <c r="Z20" t="str">
        <f t="shared" si="20"/>
        <v>&lt;!--   nombre --&gt; &lt;text font-family="Arial, Helvetica, sans-serif" font-size="24" text-anchor="middle" alignment-baseline="middle" fill="white" transform="translate(562, 385) rotate(108)"&gt;10&lt;/text&gt;</v>
      </c>
    </row>
    <row r="21" spans="1:26" x14ac:dyDescent="0.25">
      <c r="A21">
        <f t="shared" si="7"/>
        <v>20</v>
      </c>
      <c r="B21">
        <v>6</v>
      </c>
      <c r="C21">
        <f t="shared" si="8"/>
        <v>351</v>
      </c>
      <c r="D21">
        <f t="shared" si="9"/>
        <v>9</v>
      </c>
      <c r="F21" s="2">
        <f t="shared" si="0"/>
        <v>547</v>
      </c>
      <c r="G21" s="2">
        <f t="shared" si="1"/>
        <v>339</v>
      </c>
      <c r="H21" t="str">
        <f>$C$34</f>
        <v>EFDEAD</v>
      </c>
      <c r="I21" t="str">
        <f t="shared" si="2"/>
        <v>&lt;!-- 6 --&gt; &lt;path d="M300,300 L547,339 A300,300 0 0 0 547,261 Z" fill="#EFDEAD"/&gt;</v>
      </c>
      <c r="J21">
        <f t="shared" si="3"/>
        <v>547</v>
      </c>
      <c r="K21">
        <f t="shared" si="4"/>
        <v>339</v>
      </c>
      <c r="L21">
        <f t="shared" si="5"/>
        <v>526</v>
      </c>
      <c r="M21">
        <f t="shared" si="6"/>
        <v>336</v>
      </c>
      <c r="N21" t="str">
        <f>$C$37</f>
        <v>3E7A31</v>
      </c>
      <c r="O21" t="str">
        <f t="shared" si="10"/>
        <v>&lt;!--   double --&gt; &lt;path stroke="black" stroke-width="1" d="M526,336 L547,339 A300,300 0 0 0 547,261 L526,264 A300,300 0 0 1 526,336 Z" fill="#3E7A31"/&gt;</v>
      </c>
      <c r="P21">
        <f t="shared" si="11"/>
        <v>451</v>
      </c>
      <c r="Q21">
        <f t="shared" si="12"/>
        <v>324</v>
      </c>
      <c r="R21">
        <f t="shared" si="13"/>
        <v>431</v>
      </c>
      <c r="S21">
        <f t="shared" si="14"/>
        <v>321</v>
      </c>
      <c r="T21" t="str">
        <f>$C$37</f>
        <v>3E7A31</v>
      </c>
      <c r="U21" t="str">
        <f t="shared" si="15"/>
        <v>&lt;!--   triple --&gt; &lt;path stroke="black" stroke-width="1" d="M431,321 L451,324 A300,300 0 0 0 451,276 L431,279 A300,300 0 0 1 431,321 Z" fill="#3E7A31"/&gt;</v>
      </c>
      <c r="V21">
        <f t="shared" si="16"/>
        <v>562</v>
      </c>
      <c r="W21">
        <f t="shared" si="17"/>
        <v>385</v>
      </c>
      <c r="X21">
        <f t="shared" si="18"/>
        <v>342</v>
      </c>
      <c r="Y21">
        <f t="shared" si="19"/>
        <v>90</v>
      </c>
      <c r="Z21" t="str">
        <f t="shared" si="20"/>
        <v>&lt;!--   nombre --&gt; &lt;text font-family="Arial, Helvetica, sans-serif" font-size="24" text-anchor="middle" alignment-baseline="middle" fill="white" transform="translate(575, 300) rotate(90)"&gt;6&lt;/text&gt;</v>
      </c>
    </row>
    <row r="22" spans="1:26" x14ac:dyDescent="0.25">
      <c r="A22">
        <f t="shared" si="7"/>
        <v>21</v>
      </c>
      <c r="C22">
        <f t="shared" si="8"/>
        <v>9</v>
      </c>
      <c r="F22" s="2">
        <f t="shared" si="0"/>
        <v>547</v>
      </c>
      <c r="G22" s="2">
        <f t="shared" si="1"/>
        <v>261</v>
      </c>
      <c r="H22" t="str">
        <f>$C$35</f>
        <v>1C1A1D</v>
      </c>
      <c r="J22">
        <f t="shared" si="3"/>
        <v>547</v>
      </c>
      <c r="K22">
        <f t="shared" si="4"/>
        <v>261</v>
      </c>
      <c r="L22">
        <f t="shared" si="5"/>
        <v>526</v>
      </c>
      <c r="M22">
        <f t="shared" si="6"/>
        <v>264</v>
      </c>
      <c r="N22" t="str">
        <f>$C$36</f>
        <v>BB2A32</v>
      </c>
      <c r="P22">
        <f t="shared" si="11"/>
        <v>451</v>
      </c>
      <c r="Q22">
        <f t="shared" si="12"/>
        <v>276</v>
      </c>
      <c r="R22">
        <f t="shared" si="13"/>
        <v>431</v>
      </c>
      <c r="S22">
        <f t="shared" si="14"/>
        <v>279</v>
      </c>
      <c r="T22" t="str">
        <f>$C$36</f>
        <v>BB2A32</v>
      </c>
      <c r="V22">
        <f t="shared" si="16"/>
        <v>575</v>
      </c>
      <c r="W22">
        <f t="shared" si="17"/>
        <v>300</v>
      </c>
    </row>
    <row r="24" spans="1:26" x14ac:dyDescent="0.25">
      <c r="B24" t="s">
        <v>2</v>
      </c>
      <c r="C24" s="4" t="s">
        <v>25</v>
      </c>
      <c r="D24" s="3">
        <v>300</v>
      </c>
      <c r="F24" t="s">
        <v>20</v>
      </c>
      <c r="G24" t="s">
        <v>6</v>
      </c>
      <c r="H24" t="s">
        <v>7</v>
      </c>
      <c r="I24" t="s">
        <v>8</v>
      </c>
      <c r="J24" t="s">
        <v>19</v>
      </c>
      <c r="M24" t="str">
        <f>_xlfn.CONCAT("&lt;!-- outer bull --&gt; &lt;circle cx=""",D24,""" cy=""",D24,""" r=""35"" stroke=""black"" stroke-width=""2"" fill=""#",C37,"""/&gt;")</f>
        <v>&lt;!-- outer bull --&gt; &lt;circle cx="300" cy="300" r="35" stroke="black" stroke-width="2" fill="#3E7A31"/&gt;</v>
      </c>
    </row>
    <row r="25" spans="1:26" x14ac:dyDescent="0.25">
      <c r="B25" t="s">
        <v>3</v>
      </c>
      <c r="C25">
        <v>22.85</v>
      </c>
      <c r="D25" s="3">
        <v>250</v>
      </c>
      <c r="F25" t="s">
        <v>9</v>
      </c>
      <c r="G25">
        <v>1.27</v>
      </c>
      <c r="H25">
        <v>3.18</v>
      </c>
      <c r="I25">
        <v>22.85</v>
      </c>
      <c r="J25">
        <f>H25-G25</f>
        <v>1.9100000000000001</v>
      </c>
      <c r="M25" t="str">
        <f>_xlfn.CONCAT("&lt;!-- inner bull --&gt; &lt;circle cx=""",D24,""" cy=""",D24,""" r=""14"" stroke=""black"" stroke-width=""2"" fill=""#",C36,"""/&gt;")</f>
        <v>&lt;!-- inner bull --&gt; &lt;circle cx="300" cy="300" r="14" stroke="black" stroke-width="2" fill="#BB2A32"/&gt;</v>
      </c>
    </row>
    <row r="26" spans="1:26" x14ac:dyDescent="0.25">
      <c r="B26" t="s">
        <v>22</v>
      </c>
      <c r="C26">
        <v>22.85</v>
      </c>
      <c r="D26" s="2">
        <f>C26/$C$25*$D$25</f>
        <v>250</v>
      </c>
      <c r="F26" t="s">
        <v>10</v>
      </c>
      <c r="G26" s="1">
        <f>G25/I25*I26</f>
        <v>13.894967177242888</v>
      </c>
      <c r="H26" s="1">
        <f>H25/I25*I26</f>
        <v>34.792122538293221</v>
      </c>
      <c r="I26">
        <f>D25</f>
        <v>250</v>
      </c>
      <c r="J26" s="1">
        <f>J25/I25*I26</f>
        <v>20.897155361050331</v>
      </c>
    </row>
    <row r="27" spans="1:26" x14ac:dyDescent="0.25">
      <c r="B27" t="s">
        <v>23</v>
      </c>
      <c r="C27">
        <f>C26-J25</f>
        <v>20.94</v>
      </c>
      <c r="D27" s="2">
        <f t="shared" ref="D27:D29" si="21">C27/$C$25*$D$25</f>
        <v>229.10284463894968</v>
      </c>
    </row>
    <row r="28" spans="1:26" x14ac:dyDescent="0.25">
      <c r="B28" t="s">
        <v>24</v>
      </c>
      <c r="C28" s="3">
        <v>14</v>
      </c>
      <c r="D28" s="2">
        <f t="shared" si="21"/>
        <v>153.17286652078775</v>
      </c>
    </row>
    <row r="29" spans="1:26" x14ac:dyDescent="0.25">
      <c r="B29" t="s">
        <v>21</v>
      </c>
      <c r="C29">
        <f>C28-J25</f>
        <v>12.09</v>
      </c>
      <c r="D29" s="2">
        <f t="shared" si="21"/>
        <v>132.2757111597374</v>
      </c>
    </row>
    <row r="30" spans="1:26" x14ac:dyDescent="0.25">
      <c r="B30" t="s">
        <v>42</v>
      </c>
      <c r="C30" s="5">
        <f>C25/D25*D30</f>
        <v>25.135000000000002</v>
      </c>
      <c r="D30" s="6">
        <v>275</v>
      </c>
    </row>
    <row r="31" spans="1:26" x14ac:dyDescent="0.25">
      <c r="B31" t="s">
        <v>43</v>
      </c>
      <c r="D31" s="3">
        <v>24</v>
      </c>
    </row>
    <row r="33" spans="2:3" x14ac:dyDescent="0.25">
      <c r="B33" t="s">
        <v>13</v>
      </c>
    </row>
    <row r="34" spans="2:3" x14ac:dyDescent="0.25">
      <c r="B34" t="s">
        <v>14</v>
      </c>
      <c r="C34" s="3" t="s">
        <v>5</v>
      </c>
    </row>
    <row r="35" spans="2:3" x14ac:dyDescent="0.25">
      <c r="B35" t="s">
        <v>15</v>
      </c>
      <c r="C35" s="3" t="s">
        <v>18</v>
      </c>
    </row>
    <row r="36" spans="2:3" x14ac:dyDescent="0.25">
      <c r="B36" t="s">
        <v>16</v>
      </c>
      <c r="C36" s="3" t="s">
        <v>11</v>
      </c>
    </row>
    <row r="37" spans="2:3" x14ac:dyDescent="0.25">
      <c r="B37" t="s">
        <v>17</v>
      </c>
      <c r="C37" s="3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 ZIMMERMANN</dc:creator>
  <cp:lastModifiedBy>Corentin ZIMMERMANN</cp:lastModifiedBy>
  <dcterms:created xsi:type="dcterms:W3CDTF">2025-03-12T08:49:53Z</dcterms:created>
  <dcterms:modified xsi:type="dcterms:W3CDTF">2025-03-12T14:41:44Z</dcterms:modified>
</cp:coreProperties>
</file>