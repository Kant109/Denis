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zimmermann\OneDrive - APSIDE ADVANCE\Bureau\"/>
    </mc:Choice>
  </mc:AlternateContent>
  <xr:revisionPtr revIDLastSave="0" documentId="13_ncr:1_{D08F1E70-6883-4202-A952-54ADD6E71537}" xr6:coauthVersionLast="47" xr6:coauthVersionMax="47" xr10:uidLastSave="{00000000-0000-0000-0000-000000000000}"/>
  <bookViews>
    <workbookView xWindow="-120" yWindow="-120" windowWidth="29040" windowHeight="15720" xr2:uid="{08D829E9-EB5E-4433-A66A-B6A27CB241B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" i="1"/>
  <c r="U2" i="1"/>
  <c r="R7" i="1"/>
  <c r="R17" i="1"/>
  <c r="R18" i="1"/>
  <c r="R19" i="1"/>
  <c r="R20" i="1"/>
  <c r="Q7" i="1"/>
  <c r="Q8" i="1"/>
  <c r="Q9" i="1"/>
  <c r="Q10" i="1"/>
  <c r="Q11" i="1"/>
  <c r="Q12" i="1"/>
  <c r="Q13" i="1"/>
  <c r="Q18" i="1"/>
  <c r="Q19" i="1"/>
  <c r="Q20" i="1"/>
  <c r="P5" i="1"/>
  <c r="P6" i="1"/>
  <c r="P7" i="1"/>
  <c r="P12" i="1"/>
  <c r="P13" i="1"/>
  <c r="P14" i="1"/>
  <c r="P15" i="1"/>
  <c r="P16" i="1"/>
  <c r="P17" i="1"/>
  <c r="P18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N21" i="1"/>
  <c r="N19" i="1"/>
  <c r="N17" i="1"/>
  <c r="N15" i="1"/>
  <c r="N13" i="1"/>
  <c r="N11" i="1"/>
  <c r="N9" i="1"/>
  <c r="N7" i="1"/>
  <c r="N5" i="1"/>
  <c r="N3" i="1"/>
  <c r="N22" i="1"/>
  <c r="N20" i="1"/>
  <c r="N18" i="1"/>
  <c r="N16" i="1"/>
  <c r="N14" i="1"/>
  <c r="N12" i="1"/>
  <c r="N10" i="1"/>
  <c r="N8" i="1"/>
  <c r="N6" i="1"/>
  <c r="N4" i="1"/>
  <c r="N2" i="1"/>
  <c r="D28" i="1"/>
  <c r="Q14" i="1" s="1"/>
  <c r="D26" i="1"/>
  <c r="I26" i="1"/>
  <c r="H26" i="1" s="1"/>
  <c r="D2" i="1"/>
  <c r="C2" i="1"/>
  <c r="F2" i="1" s="1"/>
  <c r="J25" i="1"/>
  <c r="C29" i="1" s="1"/>
  <c r="D29" i="1" s="1"/>
  <c r="S14" i="1" s="1"/>
  <c r="H22" i="1"/>
  <c r="H20" i="1"/>
  <c r="H18" i="1"/>
  <c r="H16" i="1"/>
  <c r="H14" i="1"/>
  <c r="H12" i="1"/>
  <c r="H10" i="1"/>
  <c r="H8" i="1"/>
  <c r="H6" i="1"/>
  <c r="H4" i="1"/>
  <c r="H2" i="1"/>
  <c r="H21" i="1"/>
  <c r="H19" i="1"/>
  <c r="H17" i="1"/>
  <c r="H15" i="1"/>
  <c r="H13" i="1"/>
  <c r="H11" i="1"/>
  <c r="H9" i="1"/>
  <c r="H7" i="1"/>
  <c r="H5" i="1"/>
  <c r="H3" i="1"/>
  <c r="A3" i="1"/>
  <c r="D3" i="1" s="1"/>
  <c r="R3" i="1" l="1"/>
  <c r="R6" i="1"/>
  <c r="R5" i="1"/>
  <c r="R4" i="1"/>
  <c r="S13" i="1"/>
  <c r="P4" i="1"/>
  <c r="Q6" i="1"/>
  <c r="S12" i="1"/>
  <c r="P21" i="1"/>
  <c r="P3" i="1"/>
  <c r="Q5" i="1"/>
  <c r="S11" i="1"/>
  <c r="P20" i="1"/>
  <c r="Q22" i="1"/>
  <c r="Q4" i="1"/>
  <c r="S10" i="1"/>
  <c r="P19" i="1"/>
  <c r="Q21" i="1"/>
  <c r="R21" i="1"/>
  <c r="S9" i="1"/>
  <c r="R16" i="1"/>
  <c r="S22" i="1"/>
  <c r="S8" i="1"/>
  <c r="R15" i="1"/>
  <c r="S21" i="1"/>
  <c r="S7" i="1"/>
  <c r="R14" i="1"/>
  <c r="S20" i="1"/>
  <c r="S6" i="1"/>
  <c r="R13" i="1"/>
  <c r="S19" i="1"/>
  <c r="S5" i="1"/>
  <c r="R12" i="1"/>
  <c r="S18" i="1"/>
  <c r="S4" i="1"/>
  <c r="P11" i="1"/>
  <c r="Q17" i="1"/>
  <c r="Q3" i="1"/>
  <c r="R11" i="1"/>
  <c r="S17" i="1"/>
  <c r="S3" i="1"/>
  <c r="P2" i="1"/>
  <c r="P10" i="1"/>
  <c r="Q16" i="1"/>
  <c r="R2" i="1"/>
  <c r="R10" i="1"/>
  <c r="S16" i="1"/>
  <c r="Q2" i="1"/>
  <c r="P9" i="1"/>
  <c r="Q15" i="1"/>
  <c r="S2" i="1"/>
  <c r="R9" i="1"/>
  <c r="S15" i="1"/>
  <c r="P22" i="1"/>
  <c r="P8" i="1"/>
  <c r="R22" i="1"/>
  <c r="R8" i="1"/>
  <c r="J2" i="1"/>
  <c r="L2" i="1"/>
  <c r="K2" i="1"/>
  <c r="C27" i="1"/>
  <c r="D27" i="1" s="1"/>
  <c r="M2" i="1" s="1"/>
  <c r="C3" i="1"/>
  <c r="J26" i="1"/>
  <c r="G26" i="1"/>
  <c r="G2" i="1"/>
  <c r="A4" i="1"/>
  <c r="F3" i="1" l="1"/>
  <c r="L3" i="1"/>
  <c r="J3" i="1"/>
  <c r="M3" i="1"/>
  <c r="K3" i="1"/>
  <c r="G3" i="1"/>
  <c r="I2" i="1" s="1"/>
  <c r="D4" i="1"/>
  <c r="C4" i="1"/>
  <c r="A5" i="1"/>
  <c r="M4" i="1" l="1"/>
  <c r="K4" i="1"/>
  <c r="L4" i="1"/>
  <c r="J4" i="1"/>
  <c r="D5" i="1"/>
  <c r="C5" i="1"/>
  <c r="F4" i="1"/>
  <c r="G4" i="1"/>
  <c r="A6" i="1"/>
  <c r="M5" i="1" l="1"/>
  <c r="K5" i="1"/>
  <c r="L5" i="1"/>
  <c r="J5" i="1"/>
  <c r="D6" i="1"/>
  <c r="C6" i="1"/>
  <c r="I3" i="1"/>
  <c r="F5" i="1"/>
  <c r="G5" i="1"/>
  <c r="A7" i="1"/>
  <c r="M6" i="1" l="1"/>
  <c r="K6" i="1"/>
  <c r="L6" i="1"/>
  <c r="J6" i="1"/>
  <c r="D7" i="1"/>
  <c r="C7" i="1"/>
  <c r="I4" i="1"/>
  <c r="F6" i="1"/>
  <c r="G6" i="1"/>
  <c r="A8" i="1"/>
  <c r="K7" i="1" l="1"/>
  <c r="L7" i="1"/>
  <c r="J7" i="1"/>
  <c r="M7" i="1"/>
  <c r="D8" i="1"/>
  <c r="C8" i="1"/>
  <c r="I5" i="1"/>
  <c r="G7" i="1"/>
  <c r="A9" i="1"/>
  <c r="J8" i="1" l="1"/>
  <c r="M8" i="1"/>
  <c r="K8" i="1"/>
  <c r="L8" i="1"/>
  <c r="D9" i="1"/>
  <c r="C9" i="1"/>
  <c r="I6" i="1"/>
  <c r="G8" i="1"/>
  <c r="F8" i="1"/>
  <c r="A10" i="1"/>
  <c r="M9" i="1" l="1"/>
  <c r="K9" i="1"/>
  <c r="L9" i="1"/>
  <c r="J9" i="1"/>
  <c r="C10" i="1"/>
  <c r="D10" i="1"/>
  <c r="I7" i="1"/>
  <c r="G9" i="1"/>
  <c r="F9" i="1"/>
  <c r="A11" i="1"/>
  <c r="K10" i="1" l="1"/>
  <c r="M10" i="1"/>
  <c r="L10" i="1"/>
  <c r="J10" i="1"/>
  <c r="C11" i="1"/>
  <c r="D11" i="1"/>
  <c r="I8" i="1"/>
  <c r="F10" i="1"/>
  <c r="G10" i="1"/>
  <c r="A12" i="1"/>
  <c r="L11" i="1" l="1"/>
  <c r="J11" i="1"/>
  <c r="M11" i="1"/>
  <c r="K11" i="1"/>
  <c r="C12" i="1"/>
  <c r="D12" i="1"/>
  <c r="I9" i="1"/>
  <c r="G11" i="1"/>
  <c r="F11" i="1"/>
  <c r="A13" i="1"/>
  <c r="L12" i="1" l="1"/>
  <c r="J12" i="1"/>
  <c r="M12" i="1"/>
  <c r="K12" i="1"/>
  <c r="C13" i="1"/>
  <c r="D13" i="1"/>
  <c r="I10" i="1"/>
  <c r="G12" i="1"/>
  <c r="F12" i="1"/>
  <c r="A14" i="1"/>
  <c r="L13" i="1" l="1"/>
  <c r="J13" i="1"/>
  <c r="K13" i="1"/>
  <c r="M13" i="1"/>
  <c r="C14" i="1"/>
  <c r="D14" i="1"/>
  <c r="I11" i="1"/>
  <c r="G13" i="1"/>
  <c r="F13" i="1"/>
  <c r="A15" i="1"/>
  <c r="K14" i="1" l="1"/>
  <c r="L14" i="1"/>
  <c r="M14" i="1"/>
  <c r="J14" i="1"/>
  <c r="C15" i="1"/>
  <c r="D15" i="1"/>
  <c r="I12" i="1"/>
  <c r="F14" i="1"/>
  <c r="G14" i="1"/>
  <c r="A16" i="1"/>
  <c r="M15" i="1" l="1"/>
  <c r="L15" i="1"/>
  <c r="J15" i="1"/>
  <c r="K15" i="1"/>
  <c r="D16" i="1"/>
  <c r="C16" i="1"/>
  <c r="I13" i="1"/>
  <c r="F15" i="1"/>
  <c r="G15" i="1"/>
  <c r="A17" i="1"/>
  <c r="L16" i="1" l="1"/>
  <c r="J16" i="1"/>
  <c r="M16" i="1"/>
  <c r="K16" i="1"/>
  <c r="D17" i="1"/>
  <c r="C17" i="1"/>
  <c r="I14" i="1"/>
  <c r="F16" i="1"/>
  <c r="G16" i="1"/>
  <c r="A18" i="1"/>
  <c r="J17" i="1" l="1"/>
  <c r="L17" i="1"/>
  <c r="M17" i="1"/>
  <c r="K17" i="1"/>
  <c r="D18" i="1"/>
  <c r="C18" i="1"/>
  <c r="I15" i="1"/>
  <c r="F17" i="1"/>
  <c r="G17" i="1"/>
  <c r="A19" i="1"/>
  <c r="M18" i="1" l="1"/>
  <c r="K18" i="1"/>
  <c r="L18" i="1"/>
  <c r="J18" i="1"/>
  <c r="D19" i="1"/>
  <c r="C19" i="1"/>
  <c r="I16" i="1"/>
  <c r="F18" i="1"/>
  <c r="G18" i="1"/>
  <c r="A20" i="1"/>
  <c r="M19" i="1" l="1"/>
  <c r="K19" i="1"/>
  <c r="L19" i="1"/>
  <c r="J19" i="1"/>
  <c r="D20" i="1"/>
  <c r="C20" i="1"/>
  <c r="I17" i="1"/>
  <c r="F19" i="1"/>
  <c r="G19" i="1"/>
  <c r="A21" i="1"/>
  <c r="M20" i="1" l="1"/>
  <c r="K20" i="1"/>
  <c r="J20" i="1"/>
  <c r="L20" i="1"/>
  <c r="D21" i="1"/>
  <c r="C21" i="1"/>
  <c r="I18" i="1"/>
  <c r="F20" i="1"/>
  <c r="G20" i="1"/>
  <c r="A22" i="1"/>
  <c r="C22" i="1" s="1"/>
  <c r="L22" i="1" l="1"/>
  <c r="M22" i="1"/>
  <c r="K22" i="1"/>
  <c r="J22" i="1"/>
  <c r="K21" i="1"/>
  <c r="J21" i="1"/>
  <c r="M21" i="1"/>
  <c r="L21" i="1"/>
  <c r="I19" i="1"/>
  <c r="G22" i="1"/>
  <c r="F22" i="1"/>
  <c r="G21" i="1"/>
  <c r="F21" i="1"/>
  <c r="I21" i="1" l="1"/>
  <c r="I20" i="1"/>
</calcChain>
</file>

<file path=xl/sharedStrings.xml><?xml version="1.0" encoding="utf-8"?>
<sst xmlns="http://schemas.openxmlformats.org/spreadsheetml/2006/main" count="38" uniqueCount="38">
  <si>
    <t>Angle départ</t>
  </si>
  <si>
    <t>Angle d'arrivée</t>
  </si>
  <si>
    <t>Position Centre</t>
  </si>
  <si>
    <t>Rayon Cible</t>
  </si>
  <si>
    <t>Fill</t>
  </si>
  <si>
    <t>EFDEAD</t>
  </si>
  <si>
    <t>Œil</t>
  </si>
  <si>
    <t>Taureau</t>
  </si>
  <si>
    <t>Cible</t>
  </si>
  <si>
    <t>cm</t>
  </si>
  <si>
    <t>pixel</t>
  </si>
  <si>
    <t>BB2A32</t>
  </si>
  <si>
    <t>3E7A31</t>
  </si>
  <si>
    <t>Couleurs:</t>
  </si>
  <si>
    <t>Beige</t>
  </si>
  <si>
    <t>Noir</t>
  </si>
  <si>
    <t>Rouge</t>
  </si>
  <si>
    <t>Vert</t>
  </si>
  <si>
    <t>1C1A1D</t>
  </si>
  <si>
    <t>Triple / Double</t>
  </si>
  <si>
    <t>Rayon :</t>
  </si>
  <si>
    <t>Rayon bas triple</t>
  </si>
  <si>
    <t>Rayon haut double</t>
  </si>
  <si>
    <t>Rayon bas double</t>
  </si>
  <si>
    <t>Rayon haut triple</t>
  </si>
  <si>
    <t>----------</t>
  </si>
  <si>
    <t>X numéro</t>
  </si>
  <si>
    <t>Y numéro</t>
  </si>
  <si>
    <t>X double haut</t>
  </si>
  <si>
    <t>Y double bas</t>
  </si>
  <si>
    <t>Y double haut</t>
  </si>
  <si>
    <t>X double bas</t>
  </si>
  <si>
    <t>X triple haut</t>
  </si>
  <si>
    <t>Y triple haut</t>
  </si>
  <si>
    <t>X triple bas</t>
  </si>
  <si>
    <t>Y triple bas</t>
  </si>
  <si>
    <t>Position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</si>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</sst>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26F9-27AA-46FE-87D5-DAA9B1EC338B}">
  <dimension ref="A1:U35"/>
  <sheetViews>
    <sheetView tabSelected="1" workbookViewId="0"/>
  </sheetViews>
  <sheetFormatPr baseColWidth="10" defaultRowHeight="15" x14ac:dyDescent="0.25"/>
  <cols>
    <col min="2" max="2" width="17.5703125" bestFit="1" customWidth="1"/>
    <col min="3" max="3" width="14.28515625" bestFit="1" customWidth="1"/>
    <col min="4" max="4" width="13.85546875" bestFit="1" customWidth="1"/>
    <col min="5" max="5" width="15.28515625" customWidth="1"/>
    <col min="9" max="10" width="12" bestFit="1" customWidth="1"/>
    <col min="12" max="12" width="13.85546875" bestFit="1" customWidth="1"/>
    <col min="15" max="15" width="15.85546875" customWidth="1"/>
    <col min="16" max="16" width="15.140625" customWidth="1"/>
    <col min="17" max="17" width="13.5703125" customWidth="1"/>
  </cols>
  <sheetData>
    <row r="1" spans="1:21" x14ac:dyDescent="0.25">
      <c r="A1" t="s">
        <v>36</v>
      </c>
      <c r="B1" t="s">
        <v>37</v>
      </c>
      <c r="C1" t="s">
        <v>0</v>
      </c>
      <c r="D1" t="s">
        <v>1</v>
      </c>
      <c r="F1" t="s">
        <v>26</v>
      </c>
      <c r="G1" t="s">
        <v>27</v>
      </c>
      <c r="H1" t="s">
        <v>4</v>
      </c>
      <c r="J1" t="s">
        <v>28</v>
      </c>
      <c r="K1" t="s">
        <v>30</v>
      </c>
      <c r="L1" t="s">
        <v>31</v>
      </c>
      <c r="M1" t="s">
        <v>29</v>
      </c>
      <c r="P1" t="s">
        <v>32</v>
      </c>
      <c r="Q1" t="s">
        <v>33</v>
      </c>
      <c r="R1" t="s">
        <v>34</v>
      </c>
      <c r="S1" t="s">
        <v>35</v>
      </c>
    </row>
    <row r="2" spans="1:21" x14ac:dyDescent="0.25">
      <c r="A2">
        <v>1</v>
      </c>
      <c r="B2">
        <v>13</v>
      </c>
      <c r="C2">
        <f>MOD(360/20*(A2-1) + 360/20/2, 360)</f>
        <v>9</v>
      </c>
      <c r="D2">
        <f>MOD(360/20*A2 + 360/20/2, 360)</f>
        <v>27</v>
      </c>
      <c r="F2" s="2">
        <f>ROUND(COS(RADIANS(C2))*$D$25+$D$24,0)</f>
        <v>507</v>
      </c>
      <c r="G2" s="2">
        <f>ROUND(-SIN(RADIANS(C2))*$D$25+$D$24, 0)</f>
        <v>221</v>
      </c>
      <c r="H2" t="str">
        <f>$C$33</f>
        <v>1C1A1D</v>
      </c>
      <c r="I2" t="str">
        <f>_xlfn.CONCAT("&lt;!-- ",B2," --&gt; &lt;path d=""M",$D$24,",",$D$24," L",F2,",",G2," A",$D$24,",",$D$24," 0 0 0 ",F3,",",G3," Z"" fill=""#",H2,"""/&gt;")</f>
        <v>&lt;!-- 13 --&gt; &lt;path d="M260,260 L507,221 A260,260 0 0 0 483,147 Z" fill="#1C1A1D"/&gt;</v>
      </c>
      <c r="J2">
        <f>ROUND(COS(RADIANS(C2))*$D$26+$D$24,0)</f>
        <v>507</v>
      </c>
      <c r="K2">
        <f>ROUND(-SIN(RADIANS(C2))*$D$26+$D$24, 0)</f>
        <v>221</v>
      </c>
      <c r="L2">
        <f>ROUND(COS(RADIANS(C2))*$D$27+$D$24,0)</f>
        <v>486</v>
      </c>
      <c r="M2">
        <f>ROUND(-SIN(RADIANS(C2))*$D$27+$D$24, 0)</f>
        <v>224</v>
      </c>
      <c r="N2" t="str">
        <f>$C$34</f>
        <v>BB2A32</v>
      </c>
      <c r="O2" t="str">
        <f>_xlfn.CONCAT("&lt;!--   double --&gt; &lt;path stroke=""black"" stroke-width=""1"" d=""M",L2,",",M2," L",J2,",",K2," A",$D$24,",",$D$24," 0 0 0 ",J3,",",K3," L",L3,",",M3," A",$D$24,",",$D$24," 0 0 1 ",L2,",",M2," Z"" fill=""#",N2,"""/&gt;")</f>
        <v>&lt;!--   double --&gt; &lt;path stroke="black" stroke-width="1" d="M486,224 L507,221 A260,260 0 0 0 483,147 L464,156 A260,260 0 0 1 486,224 Z" fill="#BB2A32"/&gt;</v>
      </c>
      <c r="P2">
        <f>ROUND(COS(RADIANS(C2))*$D$28+$D$24,0)</f>
        <v>411</v>
      </c>
      <c r="Q2">
        <f>ROUND(-SIN(RADIANS(C2))*$D$28+$D$24, 0)</f>
        <v>236</v>
      </c>
      <c r="R2">
        <f>ROUND(COS(RADIANS(C2))*$D$29+$D$24,0)</f>
        <v>391</v>
      </c>
      <c r="S2">
        <f>ROUND(-SIN(RADIANS(C2))*$D$29+$D$24, 0)</f>
        <v>239</v>
      </c>
      <c r="T2" t="str">
        <f>$C$34</f>
        <v>BB2A32</v>
      </c>
      <c r="U2" t="str">
        <f>_xlfn.CONCAT("&lt;!--   triple --&gt; &lt;path stroke=""black"" stroke-width=""1"" d=""M",R2,",",S2," L",P2,",",Q2," A",$D$24,",",$D$24," 0 0 0 ",P3,",",Q3," L",R3,",",S3," A",$D$24,",",$D$24," 0 0 1 ",R2,",",S2," Z"" fill=""#",T2,"""/&gt;")</f>
        <v>&lt;!--   triple --&gt; &lt;path stroke="black" stroke-width="1" d="M391,239 L411,236 A260,260 0 0 0 396,190 L378,200 A260,260 0 0 1 391,239 Z" fill="#BB2A32"/&gt;</v>
      </c>
    </row>
    <row r="3" spans="1:21" x14ac:dyDescent="0.25">
      <c r="A3">
        <f>A2+1</f>
        <v>2</v>
      </c>
      <c r="B3">
        <v>4</v>
      </c>
      <c r="C3">
        <f t="shared" ref="C3:C22" si="0">MOD(360/20*(A3-1) + 360/20/2, 360)</f>
        <v>27</v>
      </c>
      <c r="D3">
        <f t="shared" ref="D3:D21" si="1">MOD(360/20*A3 + 360/20/2, 360)</f>
        <v>45</v>
      </c>
      <c r="F3" s="2">
        <f>ROUND(COS(RADIANS(C3))*$D$25+$D$24,0)</f>
        <v>483</v>
      </c>
      <c r="G3" s="2">
        <f>ROUND(-SIN(RADIANS(C3))*$D$25+$D$24, 0)</f>
        <v>147</v>
      </c>
      <c r="H3" t="str">
        <f>$C$32</f>
        <v>EFDEAD</v>
      </c>
      <c r="I3" t="str">
        <f>_xlfn.CONCAT("&lt;!-- ",B3," --&gt; &lt;path d=""M",$D$24,",",$D$24," L",F3,",",G3," A",$D$24,",",$D$24," 0 0 0 ",F4,",",G4," Z"" fill=""#",H3,"""/&gt;")</f>
        <v>&lt;!-- 4 --&gt; &lt;path d="M260,260 L483,147 A260,260 0 0 0 437,83 Z" fill="#EFDEAD"/&gt;</v>
      </c>
      <c r="J3">
        <f>ROUND(COS(RADIANS(C3))*$D$26+$D$24,0)</f>
        <v>483</v>
      </c>
      <c r="K3">
        <f>ROUND(-SIN(RADIANS(C3))*$D$26+$D$24, 0)</f>
        <v>147</v>
      </c>
      <c r="L3">
        <f>ROUND(COS(RADIANS(C3))*$D$27+$D$24,0)</f>
        <v>464</v>
      </c>
      <c r="M3">
        <f>ROUND(-SIN(RADIANS(C3))*$D$27+$D$24, 0)</f>
        <v>156</v>
      </c>
      <c r="N3" t="str">
        <f>$C$35</f>
        <v>3E7A31</v>
      </c>
      <c r="O3" t="str">
        <f t="shared" ref="O3:O21" si="2">_xlfn.CONCAT("&lt;!--   double --&gt; &lt;path stroke=""black"" stroke-width=""1"" d=""M",L3,",",M3," L",J3,",",K3," A",$D$24,",",$D$24," 0 0 0 ",J4,",",K4," L",L4,",",M4," A",$D$24,",",$D$24," 0 0 1 ",L3,",",M3," Z"" fill=""#",N3,"""/&gt;")</f>
        <v>&lt;!--   double --&gt; &lt;path stroke="black" stroke-width="1" d="M464,156 L483,147 A260,260 0 0 0 437,83 L422,98 A260,260 0 0 1 464,156 Z" fill="#3E7A31"/&gt;</v>
      </c>
      <c r="P3">
        <f t="shared" ref="P3:P22" si="3">ROUND(COS(RADIANS(C3))*$D$28+$D$24,0)</f>
        <v>396</v>
      </c>
      <c r="Q3">
        <f t="shared" ref="Q3:Q22" si="4">ROUND(-SIN(RADIANS(C3))*$D$28+$D$24, 0)</f>
        <v>190</v>
      </c>
      <c r="R3">
        <f t="shared" ref="R3:R22" si="5">ROUND(COS(RADIANS(C3))*$D$29+$D$24,0)</f>
        <v>378</v>
      </c>
      <c r="S3">
        <f t="shared" ref="S3:S22" si="6">ROUND(-SIN(RADIANS(C3))*$D$29+$D$24, 0)</f>
        <v>200</v>
      </c>
      <c r="T3" t="str">
        <f>$C$35</f>
        <v>3E7A31</v>
      </c>
      <c r="U3" t="str">
        <f t="shared" ref="U3:U21" si="7">_xlfn.CONCAT("&lt;!--   triple --&gt; &lt;path stroke=""black"" stroke-width=""1"" d=""M",R3,",",S3," L",P3,",",Q3," A",$D$24,",",$D$24," 0 0 0 ",P4,",",Q4," L",R4,",",S4," A",$D$24,",",$D$24," 0 0 1 ",R3,",",S3," Z"" fill=""#",T3,"""/&gt;")</f>
        <v>&lt;!--   triple --&gt; &lt;path stroke="black" stroke-width="1" d="M378,200 L396,190 A260,260 0 0 0 368,152 L354,166 A260,260 0 0 1 378,200 Z" fill="#3E7A31"/&gt;</v>
      </c>
    </row>
    <row r="4" spans="1:21" x14ac:dyDescent="0.25">
      <c r="A4">
        <f>A3+1</f>
        <v>3</v>
      </c>
      <c r="B4">
        <v>18</v>
      </c>
      <c r="C4">
        <f t="shared" si="0"/>
        <v>45</v>
      </c>
      <c r="D4">
        <f t="shared" si="1"/>
        <v>63</v>
      </c>
      <c r="F4" s="2">
        <f>ROUND(COS(RADIANS(C4))*$D$25+$D$24,0)</f>
        <v>437</v>
      </c>
      <c r="G4" s="2">
        <f>ROUND(-SIN(RADIANS(C4))*$D$25+$D$24, 0)</f>
        <v>83</v>
      </c>
      <c r="H4" t="str">
        <f>$C$33</f>
        <v>1C1A1D</v>
      </c>
      <c r="I4" t="str">
        <f>_xlfn.CONCAT("&lt;!-- ",B4," --&gt; &lt;path d=""M",$D$24,",",$D$24," L",F4,",",G4," A",$D$24,",",$D$24," 0 0 0 ",F5,",",G5," Z"" fill=""#",H4,"""/&gt;")</f>
        <v>&lt;!-- 18 --&gt; &lt;path d="M260,260 L437,83 A260,260 0 0 0 373,37 Z" fill="#1C1A1D"/&gt;</v>
      </c>
      <c r="J4">
        <f>ROUND(COS(RADIANS(C4))*$D$26+$D$24,0)</f>
        <v>437</v>
      </c>
      <c r="K4">
        <f>ROUND(-SIN(RADIANS(C4))*$D$26+$D$24, 0)</f>
        <v>83</v>
      </c>
      <c r="L4">
        <f>ROUND(COS(RADIANS(C4))*$D$27+$D$24,0)</f>
        <v>422</v>
      </c>
      <c r="M4">
        <f>ROUND(-SIN(RADIANS(C4))*$D$27+$D$24, 0)</f>
        <v>98</v>
      </c>
      <c r="N4" t="str">
        <f>$C$34</f>
        <v>BB2A32</v>
      </c>
      <c r="O4" t="str">
        <f t="shared" si="2"/>
        <v>&lt;!--   double --&gt; &lt;path stroke="black" stroke-width="1" d="M422,98 L437,83 A260,260 0 0 0 373,37 L364,56 A260,260 0 0 1 422,98 Z" fill="#BB2A32"/&gt;</v>
      </c>
      <c r="P4">
        <f t="shared" si="3"/>
        <v>368</v>
      </c>
      <c r="Q4">
        <f t="shared" si="4"/>
        <v>152</v>
      </c>
      <c r="R4">
        <f t="shared" si="5"/>
        <v>354</v>
      </c>
      <c r="S4">
        <f t="shared" si="6"/>
        <v>166</v>
      </c>
      <c r="T4" t="str">
        <f>$C$34</f>
        <v>BB2A32</v>
      </c>
      <c r="U4" t="str">
        <f t="shared" si="7"/>
        <v>&lt;!--   triple --&gt; &lt;path stroke="black" stroke-width="1" d="M354,166 L368,152 A260,260 0 0 0 330,124 L320,142 A260,260 0 0 1 354,166 Z" fill="#BB2A32"/&gt;</v>
      </c>
    </row>
    <row r="5" spans="1:21" x14ac:dyDescent="0.25">
      <c r="A5">
        <f>A4+1</f>
        <v>4</v>
      </c>
      <c r="B5">
        <v>1</v>
      </c>
      <c r="C5">
        <f t="shared" si="0"/>
        <v>63</v>
      </c>
      <c r="D5">
        <f t="shared" si="1"/>
        <v>81</v>
      </c>
      <c r="F5" s="2">
        <f>ROUND(COS(RADIANS(C5))*$D$25+$D$24,0)</f>
        <v>373</v>
      </c>
      <c r="G5" s="2">
        <f>ROUND(-SIN(RADIANS(C5))*$D$25+$D$24, 0)</f>
        <v>37</v>
      </c>
      <c r="H5" t="str">
        <f>$C$32</f>
        <v>EFDEAD</v>
      </c>
      <c r="I5" t="str">
        <f>_xlfn.CONCAT("&lt;!-- ",B5," --&gt; &lt;path d=""M",$D$24,",",$D$24," L",F5,",",G5," A",$D$24,",",$D$24," 0 0 0 ",F6,",",G6," Z"" fill=""#",H5,"""/&gt;")</f>
        <v>&lt;!-- 1 --&gt; &lt;path d="M260,260 L373,37 A260,260 0 0 0 299,13 Z" fill="#EFDEAD"/&gt;</v>
      </c>
      <c r="J5">
        <f>ROUND(COS(RADIANS(C5))*$D$26+$D$24,0)</f>
        <v>373</v>
      </c>
      <c r="K5">
        <f>ROUND(-SIN(RADIANS(C5))*$D$26+$D$24, 0)</f>
        <v>37</v>
      </c>
      <c r="L5">
        <f>ROUND(COS(RADIANS(C5))*$D$27+$D$24,0)</f>
        <v>364</v>
      </c>
      <c r="M5">
        <f>ROUND(-SIN(RADIANS(C5))*$D$27+$D$24, 0)</f>
        <v>56</v>
      </c>
      <c r="N5" t="str">
        <f>$C$35</f>
        <v>3E7A31</v>
      </c>
      <c r="O5" t="str">
        <f t="shared" si="2"/>
        <v>&lt;!--   double --&gt; &lt;path stroke="black" stroke-width="1" d="M364,56 L373,37 A260,260 0 0 0 299,13 L296,34 A260,260 0 0 1 364,56 Z" fill="#3E7A31"/&gt;</v>
      </c>
      <c r="P5">
        <f t="shared" si="3"/>
        <v>330</v>
      </c>
      <c r="Q5">
        <f t="shared" si="4"/>
        <v>124</v>
      </c>
      <c r="R5">
        <f t="shared" si="5"/>
        <v>320</v>
      </c>
      <c r="S5">
        <f t="shared" si="6"/>
        <v>142</v>
      </c>
      <c r="T5" t="str">
        <f>$C$35</f>
        <v>3E7A31</v>
      </c>
      <c r="U5" t="str">
        <f t="shared" si="7"/>
        <v>&lt;!--   triple --&gt; &lt;path stroke="black" stroke-width="1" d="M320,142 L330,124 A260,260 0 0 0 284,109 L281,129 A260,260 0 0 1 320,142 Z" fill="#3E7A31"/&gt;</v>
      </c>
    </row>
    <row r="6" spans="1:21" x14ac:dyDescent="0.25">
      <c r="A6">
        <f>A5+1</f>
        <v>5</v>
      </c>
      <c r="B6">
        <v>20</v>
      </c>
      <c r="C6">
        <f t="shared" si="0"/>
        <v>81</v>
      </c>
      <c r="D6">
        <f t="shared" si="1"/>
        <v>99</v>
      </c>
      <c r="F6" s="2">
        <f>ROUND(COS(RADIANS(C6))*$D$25+$D$24,0)</f>
        <v>299</v>
      </c>
      <c r="G6" s="2">
        <f>ROUND(-SIN(RADIANS(C6))*$D$25+$D$24, 0)</f>
        <v>13</v>
      </c>
      <c r="H6" t="str">
        <f>$C$33</f>
        <v>1C1A1D</v>
      </c>
      <c r="I6" t="str">
        <f>_xlfn.CONCAT("&lt;!-- ",B6," --&gt; &lt;path d=""M",$D$24,",",$D$24," L",F6,",",G6," A",$D$24,",",$D$24," 0 0 0 ",F7,",",G7," Z"" fill=""#",H6,"""/&gt;")</f>
        <v>&lt;!-- 20 --&gt; &lt;path d="M260,260 L299,13 A260,260 0 0 0 221,13 Z" fill="#1C1A1D"/&gt;</v>
      </c>
      <c r="J6">
        <f>ROUND(COS(RADIANS(C6))*$D$26+$D$24,0)</f>
        <v>299</v>
      </c>
      <c r="K6">
        <f>ROUND(-SIN(RADIANS(C6))*$D$26+$D$24, 0)</f>
        <v>13</v>
      </c>
      <c r="L6">
        <f>ROUND(COS(RADIANS(C6))*$D$27+$D$24,0)</f>
        <v>296</v>
      </c>
      <c r="M6">
        <f>ROUND(-SIN(RADIANS(C6))*$D$27+$D$24, 0)</f>
        <v>34</v>
      </c>
      <c r="N6" t="str">
        <f>$C$34</f>
        <v>BB2A32</v>
      </c>
      <c r="O6" t="str">
        <f t="shared" si="2"/>
        <v>&lt;!--   double --&gt; &lt;path stroke="black" stroke-width="1" d="M296,34 L299,13 A260,260 0 0 0 221,13 L224,34 A260,260 0 0 1 296,34 Z" fill="#BB2A32"/&gt;</v>
      </c>
      <c r="P6">
        <f t="shared" si="3"/>
        <v>284</v>
      </c>
      <c r="Q6">
        <f t="shared" si="4"/>
        <v>109</v>
      </c>
      <c r="R6">
        <f t="shared" si="5"/>
        <v>281</v>
      </c>
      <c r="S6">
        <f t="shared" si="6"/>
        <v>129</v>
      </c>
      <c r="T6" t="str">
        <f>$C$34</f>
        <v>BB2A32</v>
      </c>
      <c r="U6" t="str">
        <f t="shared" si="7"/>
        <v>&lt;!--   triple --&gt; &lt;path stroke="black" stroke-width="1" d="M281,129 L284,109 A260,260 0 0 0 236,109 L239,129 A260,260 0 0 1 281,129 Z" fill="#BB2A32"/&gt;</v>
      </c>
    </row>
    <row r="7" spans="1:21" x14ac:dyDescent="0.25">
      <c r="A7">
        <f>A6+1</f>
        <v>6</v>
      </c>
      <c r="B7">
        <v>5</v>
      </c>
      <c r="C7">
        <f t="shared" si="0"/>
        <v>99</v>
      </c>
      <c r="D7">
        <f t="shared" si="1"/>
        <v>117</v>
      </c>
      <c r="F7" s="2">
        <f>ROUND(COS(RADIANS(C7))*$D$25+$D$24,0)</f>
        <v>221</v>
      </c>
      <c r="G7" s="2">
        <f>ROUND(-SIN(RADIANS(C7))*$D$25+$D$24, 0)</f>
        <v>13</v>
      </c>
      <c r="H7" t="str">
        <f>$C$32</f>
        <v>EFDEAD</v>
      </c>
      <c r="I7" t="str">
        <f>_xlfn.CONCAT("&lt;!-- ",B7," --&gt; &lt;path d=""M",$D$24,",",$D$24," L",F7,",",G7," A",$D$24,",",$D$24," 0 0 0 ",F8,",",G8," Z"" fill=""#",H7,"""/&gt;")</f>
        <v>&lt;!-- 5 --&gt; &lt;path d="M260,260 L221,13 A260,260 0 0 0 147,37 Z" fill="#EFDEAD"/&gt;</v>
      </c>
      <c r="J7">
        <f>ROUND(COS(RADIANS(C7))*$D$26+$D$24,0)</f>
        <v>221</v>
      </c>
      <c r="K7">
        <f>ROUND(-SIN(RADIANS(C7))*$D$26+$D$24, 0)</f>
        <v>13</v>
      </c>
      <c r="L7">
        <f>ROUND(COS(RADIANS(C7))*$D$27+$D$24,0)</f>
        <v>224</v>
      </c>
      <c r="M7">
        <f>ROUND(-SIN(RADIANS(C7))*$D$27+$D$24, 0)</f>
        <v>34</v>
      </c>
      <c r="N7" t="str">
        <f>$C$35</f>
        <v>3E7A31</v>
      </c>
      <c r="O7" t="str">
        <f t="shared" si="2"/>
        <v>&lt;!--   double --&gt; &lt;path stroke="black" stroke-width="1" d="M224,34 L221,13 A260,260 0 0 0 147,37 L156,56 A260,260 0 0 1 224,34 Z" fill="#3E7A31"/&gt;</v>
      </c>
      <c r="P7">
        <f t="shared" si="3"/>
        <v>236</v>
      </c>
      <c r="Q7">
        <f t="shared" si="4"/>
        <v>109</v>
      </c>
      <c r="R7">
        <f t="shared" si="5"/>
        <v>239</v>
      </c>
      <c r="S7">
        <f t="shared" si="6"/>
        <v>129</v>
      </c>
      <c r="T7" t="str">
        <f>$C$35</f>
        <v>3E7A31</v>
      </c>
      <c r="U7" t="str">
        <f t="shared" si="7"/>
        <v>&lt;!--   triple --&gt; &lt;path stroke="black" stroke-width="1" d="M239,129 L236,109 A260,260 0 0 0 190,124 L200,142 A260,260 0 0 1 239,129 Z" fill="#3E7A31"/&gt;</v>
      </c>
    </row>
    <row r="8" spans="1:21" x14ac:dyDescent="0.25">
      <c r="A8">
        <f>A7+1</f>
        <v>7</v>
      </c>
      <c r="B8">
        <v>12</v>
      </c>
      <c r="C8">
        <f t="shared" si="0"/>
        <v>117</v>
      </c>
      <c r="D8">
        <f t="shared" si="1"/>
        <v>135</v>
      </c>
      <c r="F8" s="2">
        <f>ROUND(COS(RADIANS(C8))*$D$25+$D$24,0)</f>
        <v>147</v>
      </c>
      <c r="G8" s="2">
        <f>ROUND(-SIN(RADIANS(C8))*$D$25+$D$24, 0)</f>
        <v>37</v>
      </c>
      <c r="H8" t="str">
        <f>$C$33</f>
        <v>1C1A1D</v>
      </c>
      <c r="I8" t="str">
        <f>_xlfn.CONCAT("&lt;!-- ",B8," --&gt; &lt;path d=""M",$D$24,",",$D$24," L",F8,",",G8," A",$D$24,",",$D$24," 0 0 0 ",F9,",",G9," Z"" fill=""#",H8,"""/&gt;")</f>
        <v>&lt;!-- 12 --&gt; &lt;path d="M260,260 L147,37 A260,260 0 0 0 83,83 Z" fill="#1C1A1D"/&gt;</v>
      </c>
      <c r="J8">
        <f>ROUND(COS(RADIANS(C8))*$D$26+$D$24,0)</f>
        <v>147</v>
      </c>
      <c r="K8">
        <f>ROUND(-SIN(RADIANS(C8))*$D$26+$D$24, 0)</f>
        <v>37</v>
      </c>
      <c r="L8">
        <f>ROUND(COS(RADIANS(C8))*$D$27+$D$24,0)</f>
        <v>156</v>
      </c>
      <c r="M8">
        <f>ROUND(-SIN(RADIANS(C8))*$D$27+$D$24, 0)</f>
        <v>56</v>
      </c>
      <c r="N8" t="str">
        <f>$C$34</f>
        <v>BB2A32</v>
      </c>
      <c r="O8" t="str">
        <f t="shared" si="2"/>
        <v>&lt;!--   double --&gt; &lt;path stroke="black" stroke-width="1" d="M156,56 L147,37 A260,260 0 0 0 83,83 L98,98 A260,260 0 0 1 156,56 Z" fill="#BB2A32"/&gt;</v>
      </c>
      <c r="P8">
        <f t="shared" si="3"/>
        <v>190</v>
      </c>
      <c r="Q8">
        <f t="shared" si="4"/>
        <v>124</v>
      </c>
      <c r="R8">
        <f t="shared" si="5"/>
        <v>200</v>
      </c>
      <c r="S8">
        <f t="shared" si="6"/>
        <v>142</v>
      </c>
      <c r="T8" t="str">
        <f>$C$34</f>
        <v>BB2A32</v>
      </c>
      <c r="U8" t="str">
        <f t="shared" si="7"/>
        <v>&lt;!--   triple --&gt; &lt;path stroke="black" stroke-width="1" d="M200,142 L190,124 A260,260 0 0 0 152,152 L166,166 A260,260 0 0 1 200,142 Z" fill="#BB2A32"/&gt;</v>
      </c>
    </row>
    <row r="9" spans="1:21" x14ac:dyDescent="0.25">
      <c r="A9">
        <f>A8+1</f>
        <v>8</v>
      </c>
      <c r="B9">
        <v>9</v>
      </c>
      <c r="C9">
        <f t="shared" si="0"/>
        <v>135</v>
      </c>
      <c r="D9">
        <f t="shared" si="1"/>
        <v>153</v>
      </c>
      <c r="F9" s="2">
        <f>ROUND(COS(RADIANS(C9))*$D$25+$D$24,0)</f>
        <v>83</v>
      </c>
      <c r="G9" s="2">
        <f>ROUND(-SIN(RADIANS(C9))*$D$25+$D$24, 0)</f>
        <v>83</v>
      </c>
      <c r="H9" t="str">
        <f>$C$32</f>
        <v>EFDEAD</v>
      </c>
      <c r="I9" t="str">
        <f>_xlfn.CONCAT("&lt;!-- ",B9," --&gt; &lt;path d=""M",$D$24,",",$D$24," L",F9,",",G9," A",$D$24,",",$D$24," 0 0 0 ",F10,",",G10," Z"" fill=""#",H9,"""/&gt;")</f>
        <v>&lt;!-- 9 --&gt; &lt;path d="M260,260 L83,83 A260,260 0 0 0 37,147 Z" fill="#EFDEAD"/&gt;</v>
      </c>
      <c r="J9">
        <f>ROUND(COS(RADIANS(C9))*$D$26+$D$24,0)</f>
        <v>83</v>
      </c>
      <c r="K9">
        <f>ROUND(-SIN(RADIANS(C9))*$D$26+$D$24, 0)</f>
        <v>83</v>
      </c>
      <c r="L9">
        <f>ROUND(COS(RADIANS(C9))*$D$27+$D$24,0)</f>
        <v>98</v>
      </c>
      <c r="M9">
        <f>ROUND(-SIN(RADIANS(C9))*$D$27+$D$24, 0)</f>
        <v>98</v>
      </c>
      <c r="N9" t="str">
        <f>$C$35</f>
        <v>3E7A31</v>
      </c>
      <c r="O9" t="str">
        <f t="shared" si="2"/>
        <v>&lt;!--   double --&gt; &lt;path stroke="black" stroke-width="1" d="M98,98 L83,83 A260,260 0 0 0 37,147 L56,156 A260,260 0 0 1 98,98 Z" fill="#3E7A31"/&gt;</v>
      </c>
      <c r="P9">
        <f t="shared" si="3"/>
        <v>152</v>
      </c>
      <c r="Q9">
        <f t="shared" si="4"/>
        <v>152</v>
      </c>
      <c r="R9">
        <f t="shared" si="5"/>
        <v>166</v>
      </c>
      <c r="S9">
        <f t="shared" si="6"/>
        <v>166</v>
      </c>
      <c r="T9" t="str">
        <f>$C$35</f>
        <v>3E7A31</v>
      </c>
      <c r="U9" t="str">
        <f t="shared" si="7"/>
        <v>&lt;!--   triple --&gt; &lt;path stroke="black" stroke-width="1" d="M166,166 L152,152 A260,260 0 0 0 124,190 L142,200 A260,260 0 0 1 166,166 Z" fill="#3E7A31"/&gt;</v>
      </c>
    </row>
    <row r="10" spans="1:21" x14ac:dyDescent="0.25">
      <c r="A10">
        <f>A9+1</f>
        <v>9</v>
      </c>
      <c r="B10">
        <v>14</v>
      </c>
      <c r="C10">
        <f t="shared" si="0"/>
        <v>153</v>
      </c>
      <c r="D10">
        <f t="shared" si="1"/>
        <v>171</v>
      </c>
      <c r="F10" s="2">
        <f>ROUND(COS(RADIANS(C10))*$D$25+$D$24,0)</f>
        <v>37</v>
      </c>
      <c r="G10" s="2">
        <f>ROUND(-SIN(RADIANS(C10))*$D$25+$D$24, 0)</f>
        <v>147</v>
      </c>
      <c r="H10" t="str">
        <f>$C$33</f>
        <v>1C1A1D</v>
      </c>
      <c r="I10" t="str">
        <f>_xlfn.CONCAT("&lt;!-- ",B10," --&gt; &lt;path d=""M",$D$24,",",$D$24," L",F10,",",G10," A",$D$24,",",$D$24," 0 0 0 ",F11,",",G11," Z"" fill=""#",H10,"""/&gt;")</f>
        <v>&lt;!-- 14 --&gt; &lt;path d="M260,260 L37,147 A260,260 0 0 0 13,221 Z" fill="#1C1A1D"/&gt;</v>
      </c>
      <c r="J10">
        <f>ROUND(COS(RADIANS(C10))*$D$26+$D$24,0)</f>
        <v>37</v>
      </c>
      <c r="K10">
        <f>ROUND(-SIN(RADIANS(C10))*$D$26+$D$24, 0)</f>
        <v>147</v>
      </c>
      <c r="L10">
        <f>ROUND(COS(RADIANS(C10))*$D$27+$D$24,0)</f>
        <v>56</v>
      </c>
      <c r="M10">
        <f>ROUND(-SIN(RADIANS(C10))*$D$27+$D$24, 0)</f>
        <v>156</v>
      </c>
      <c r="N10" t="str">
        <f>$C$34</f>
        <v>BB2A32</v>
      </c>
      <c r="O10" t="str">
        <f t="shared" si="2"/>
        <v>&lt;!--   double --&gt; &lt;path stroke="black" stroke-width="1" d="M56,156 L37,147 A260,260 0 0 0 13,221 L34,224 A260,260 0 0 1 56,156 Z" fill="#BB2A32"/&gt;</v>
      </c>
      <c r="P10">
        <f t="shared" si="3"/>
        <v>124</v>
      </c>
      <c r="Q10">
        <f t="shared" si="4"/>
        <v>190</v>
      </c>
      <c r="R10">
        <f t="shared" si="5"/>
        <v>142</v>
      </c>
      <c r="S10">
        <f t="shared" si="6"/>
        <v>200</v>
      </c>
      <c r="T10" t="str">
        <f>$C$34</f>
        <v>BB2A32</v>
      </c>
      <c r="U10" t="str">
        <f t="shared" si="7"/>
        <v>&lt;!--   triple --&gt; &lt;path stroke="black" stroke-width="1" d="M142,200 L124,190 A260,260 0 0 0 109,236 L129,239 A260,260 0 0 1 142,200 Z" fill="#BB2A32"/&gt;</v>
      </c>
    </row>
    <row r="11" spans="1:21" x14ac:dyDescent="0.25">
      <c r="A11">
        <f>A10+1</f>
        <v>10</v>
      </c>
      <c r="B11">
        <v>11</v>
      </c>
      <c r="C11">
        <f t="shared" si="0"/>
        <v>171</v>
      </c>
      <c r="D11">
        <f t="shared" si="1"/>
        <v>189</v>
      </c>
      <c r="F11" s="2">
        <f>ROUND(COS(RADIANS(C11))*$D$25+$D$24,0)</f>
        <v>13</v>
      </c>
      <c r="G11" s="2">
        <f>ROUND(-SIN(RADIANS(C11))*$D$25+$D$24, 0)</f>
        <v>221</v>
      </c>
      <c r="H11" t="str">
        <f>$C$32</f>
        <v>EFDEAD</v>
      </c>
      <c r="I11" t="str">
        <f>_xlfn.CONCAT("&lt;!-- ",B11," --&gt; &lt;path d=""M",$D$24,",",$D$24," L",F11,",",G11," A",$D$24,",",$D$24," 0 0 0 ",F12,",",G12," Z"" fill=""#",H11,"""/&gt;")</f>
        <v>&lt;!-- 11 --&gt; &lt;path d="M260,260 L13,221 A260,260 0 0 0 13,299 Z" fill="#EFDEAD"/&gt;</v>
      </c>
      <c r="J11">
        <f>ROUND(COS(RADIANS(C11))*$D$26+$D$24,0)</f>
        <v>13</v>
      </c>
      <c r="K11">
        <f>ROUND(-SIN(RADIANS(C11))*$D$26+$D$24, 0)</f>
        <v>221</v>
      </c>
      <c r="L11">
        <f>ROUND(COS(RADIANS(C11))*$D$27+$D$24,0)</f>
        <v>34</v>
      </c>
      <c r="M11">
        <f>ROUND(-SIN(RADIANS(C11))*$D$27+$D$24, 0)</f>
        <v>224</v>
      </c>
      <c r="N11" t="str">
        <f>$C$35</f>
        <v>3E7A31</v>
      </c>
      <c r="O11" t="str">
        <f t="shared" si="2"/>
        <v>&lt;!--   double --&gt; &lt;path stroke="black" stroke-width="1" d="M34,224 L13,221 A260,260 0 0 0 13,299 L34,296 A260,260 0 0 1 34,224 Z" fill="#3E7A31"/&gt;</v>
      </c>
      <c r="P11">
        <f t="shared" si="3"/>
        <v>109</v>
      </c>
      <c r="Q11">
        <f t="shared" si="4"/>
        <v>236</v>
      </c>
      <c r="R11">
        <f t="shared" si="5"/>
        <v>129</v>
      </c>
      <c r="S11">
        <f t="shared" si="6"/>
        <v>239</v>
      </c>
      <c r="T11" t="str">
        <f>$C$35</f>
        <v>3E7A31</v>
      </c>
      <c r="U11" t="str">
        <f t="shared" si="7"/>
        <v>&lt;!--   triple --&gt; &lt;path stroke="black" stroke-width="1" d="M129,239 L109,236 A260,260 0 0 0 109,284 L129,281 A260,260 0 0 1 129,239 Z" fill="#3E7A31"/&gt;</v>
      </c>
    </row>
    <row r="12" spans="1:21" x14ac:dyDescent="0.25">
      <c r="A12">
        <f>A11+1</f>
        <v>11</v>
      </c>
      <c r="B12">
        <v>8</v>
      </c>
      <c r="C12">
        <f t="shared" si="0"/>
        <v>189</v>
      </c>
      <c r="D12">
        <f t="shared" si="1"/>
        <v>207</v>
      </c>
      <c r="F12" s="2">
        <f>ROUND(COS(RADIANS(C12))*$D$25+$D$24,0)</f>
        <v>13</v>
      </c>
      <c r="G12" s="2">
        <f>ROUND(-SIN(RADIANS(C12))*$D$25+$D$24, 0)</f>
        <v>299</v>
      </c>
      <c r="H12" t="str">
        <f>$C$33</f>
        <v>1C1A1D</v>
      </c>
      <c r="I12" t="str">
        <f>_xlfn.CONCAT("&lt;!-- ",B12," --&gt; &lt;path d=""M",$D$24,",",$D$24," L",F12,",",G12," A",$D$24,",",$D$24," 0 0 0 ",F13,",",G13," Z"" fill=""#",H12,"""/&gt;")</f>
        <v>&lt;!-- 8 --&gt; &lt;path d="M260,260 L13,299 A260,260 0 0 0 37,373 Z" fill="#1C1A1D"/&gt;</v>
      </c>
      <c r="J12">
        <f>ROUND(COS(RADIANS(C12))*$D$26+$D$24,0)</f>
        <v>13</v>
      </c>
      <c r="K12">
        <f>ROUND(-SIN(RADIANS(C12))*$D$26+$D$24, 0)</f>
        <v>299</v>
      </c>
      <c r="L12">
        <f>ROUND(COS(RADIANS(C12))*$D$27+$D$24,0)</f>
        <v>34</v>
      </c>
      <c r="M12">
        <f>ROUND(-SIN(RADIANS(C12))*$D$27+$D$24, 0)</f>
        <v>296</v>
      </c>
      <c r="N12" t="str">
        <f>$C$34</f>
        <v>BB2A32</v>
      </c>
      <c r="O12" t="str">
        <f t="shared" si="2"/>
        <v>&lt;!--   double --&gt; &lt;path stroke="black" stroke-width="1" d="M34,296 L13,299 A260,260 0 0 0 37,373 L56,364 A260,260 0 0 1 34,296 Z" fill="#BB2A32"/&gt;</v>
      </c>
      <c r="P12">
        <f t="shared" si="3"/>
        <v>109</v>
      </c>
      <c r="Q12">
        <f t="shared" si="4"/>
        <v>284</v>
      </c>
      <c r="R12">
        <f t="shared" si="5"/>
        <v>129</v>
      </c>
      <c r="S12">
        <f t="shared" si="6"/>
        <v>281</v>
      </c>
      <c r="T12" t="str">
        <f>$C$34</f>
        <v>BB2A32</v>
      </c>
      <c r="U12" t="str">
        <f t="shared" si="7"/>
        <v>&lt;!--   triple --&gt; &lt;path stroke="black" stroke-width="1" d="M129,281 L109,284 A260,260 0 0 0 124,330 L142,320 A260,260 0 0 1 129,281 Z" fill="#BB2A32"/&gt;</v>
      </c>
    </row>
    <row r="13" spans="1:21" x14ac:dyDescent="0.25">
      <c r="A13">
        <f>A12+1</f>
        <v>12</v>
      </c>
      <c r="B13">
        <v>16</v>
      </c>
      <c r="C13">
        <f t="shared" si="0"/>
        <v>207</v>
      </c>
      <c r="D13">
        <f t="shared" si="1"/>
        <v>225</v>
      </c>
      <c r="F13" s="2">
        <f>ROUND(COS(RADIANS(C13))*$D$25+$D$24,0)</f>
        <v>37</v>
      </c>
      <c r="G13" s="2">
        <f>ROUND(-SIN(RADIANS(C13))*$D$25+$D$24, 0)</f>
        <v>373</v>
      </c>
      <c r="H13" t="str">
        <f>$C$32</f>
        <v>EFDEAD</v>
      </c>
      <c r="I13" t="str">
        <f>_xlfn.CONCAT("&lt;!-- ",B13," --&gt; &lt;path d=""M",$D$24,",",$D$24," L",F13,",",G13," A",$D$24,",",$D$24," 0 0 0 ",F14,",",G14," Z"" fill=""#",H13,"""/&gt;")</f>
        <v>&lt;!-- 16 --&gt; &lt;path d="M260,260 L37,373 A260,260 0 0 0 83,437 Z" fill="#EFDEAD"/&gt;</v>
      </c>
      <c r="J13">
        <f>ROUND(COS(RADIANS(C13))*$D$26+$D$24,0)</f>
        <v>37</v>
      </c>
      <c r="K13">
        <f>ROUND(-SIN(RADIANS(C13))*$D$26+$D$24, 0)</f>
        <v>373</v>
      </c>
      <c r="L13">
        <f>ROUND(COS(RADIANS(C13))*$D$27+$D$24,0)</f>
        <v>56</v>
      </c>
      <c r="M13">
        <f>ROUND(-SIN(RADIANS(C13))*$D$27+$D$24, 0)</f>
        <v>364</v>
      </c>
      <c r="N13" t="str">
        <f>$C$35</f>
        <v>3E7A31</v>
      </c>
      <c r="O13" t="str">
        <f t="shared" si="2"/>
        <v>&lt;!--   double --&gt; &lt;path stroke="black" stroke-width="1" d="M56,364 L37,373 A260,260 0 0 0 83,437 L98,422 A260,260 0 0 1 56,364 Z" fill="#3E7A31"/&gt;</v>
      </c>
      <c r="P13">
        <f t="shared" si="3"/>
        <v>124</v>
      </c>
      <c r="Q13">
        <f t="shared" si="4"/>
        <v>330</v>
      </c>
      <c r="R13">
        <f t="shared" si="5"/>
        <v>142</v>
      </c>
      <c r="S13">
        <f t="shared" si="6"/>
        <v>320</v>
      </c>
      <c r="T13" t="str">
        <f>$C$35</f>
        <v>3E7A31</v>
      </c>
      <c r="U13" t="str">
        <f t="shared" si="7"/>
        <v>&lt;!--   triple --&gt; &lt;path stroke="black" stroke-width="1" d="M142,320 L124,330 A260,260 0 0 0 152,368 L166,354 A260,260 0 0 1 142,320 Z" fill="#3E7A31"/&gt;</v>
      </c>
    </row>
    <row r="14" spans="1:21" x14ac:dyDescent="0.25">
      <c r="A14">
        <f>A13+1</f>
        <v>13</v>
      </c>
      <c r="B14">
        <v>7</v>
      </c>
      <c r="C14">
        <f t="shared" si="0"/>
        <v>225</v>
      </c>
      <c r="D14">
        <f t="shared" si="1"/>
        <v>243</v>
      </c>
      <c r="F14" s="2">
        <f>ROUND(COS(RADIANS(C14))*$D$25+$D$24,0)</f>
        <v>83</v>
      </c>
      <c r="G14" s="2">
        <f>ROUND(-SIN(RADIANS(C14))*$D$25+$D$24, 0)</f>
        <v>437</v>
      </c>
      <c r="H14" t="str">
        <f>$C$33</f>
        <v>1C1A1D</v>
      </c>
      <c r="I14" t="str">
        <f>_xlfn.CONCAT("&lt;!-- ",B14," --&gt; &lt;path d=""M",$D$24,",",$D$24," L",F14,",",G14," A",$D$24,",",$D$24," 0 0 0 ",F15,",",G15," Z"" fill=""#",H14,"""/&gt;")</f>
        <v>&lt;!-- 7 --&gt; &lt;path d="M260,260 L83,437 A260,260 0 0 0 147,483 Z" fill="#1C1A1D"/&gt;</v>
      </c>
      <c r="J14">
        <f>ROUND(COS(RADIANS(C14))*$D$26+$D$24,0)</f>
        <v>83</v>
      </c>
      <c r="K14">
        <f>ROUND(-SIN(RADIANS(C14))*$D$26+$D$24, 0)</f>
        <v>437</v>
      </c>
      <c r="L14">
        <f>ROUND(COS(RADIANS(C14))*$D$27+$D$24,0)</f>
        <v>98</v>
      </c>
      <c r="M14">
        <f>ROUND(-SIN(RADIANS(C14))*$D$27+$D$24, 0)</f>
        <v>422</v>
      </c>
      <c r="N14" t="str">
        <f>$C$34</f>
        <v>BB2A32</v>
      </c>
      <c r="O14" t="str">
        <f t="shared" si="2"/>
        <v>&lt;!--   double --&gt; &lt;path stroke="black" stroke-width="1" d="M98,422 L83,437 A260,260 0 0 0 147,483 L156,464 A260,260 0 0 1 98,422 Z" fill="#BB2A32"/&gt;</v>
      </c>
      <c r="P14">
        <f t="shared" si="3"/>
        <v>152</v>
      </c>
      <c r="Q14">
        <f t="shared" si="4"/>
        <v>368</v>
      </c>
      <c r="R14">
        <f t="shared" si="5"/>
        <v>166</v>
      </c>
      <c r="S14">
        <f t="shared" si="6"/>
        <v>354</v>
      </c>
      <c r="T14" t="str">
        <f>$C$34</f>
        <v>BB2A32</v>
      </c>
      <c r="U14" t="str">
        <f t="shared" si="7"/>
        <v>&lt;!--   triple --&gt; &lt;path stroke="black" stroke-width="1" d="M166,354 L152,368 A260,260 0 0 0 190,396 L200,378 A260,260 0 0 1 166,354 Z" fill="#BB2A32"/&gt;</v>
      </c>
    </row>
    <row r="15" spans="1:21" x14ac:dyDescent="0.25">
      <c r="A15">
        <f>A14+1</f>
        <v>14</v>
      </c>
      <c r="B15">
        <v>19</v>
      </c>
      <c r="C15">
        <f t="shared" si="0"/>
        <v>243</v>
      </c>
      <c r="D15">
        <f t="shared" si="1"/>
        <v>261</v>
      </c>
      <c r="F15" s="2">
        <f>ROUND(COS(RADIANS(C15))*$D$25+$D$24,0)</f>
        <v>147</v>
      </c>
      <c r="G15" s="2">
        <f>ROUND(-SIN(RADIANS(C15))*$D$25+$D$24, 0)</f>
        <v>483</v>
      </c>
      <c r="H15" t="str">
        <f>$C$32</f>
        <v>EFDEAD</v>
      </c>
      <c r="I15" t="str">
        <f>_xlfn.CONCAT("&lt;!-- ",B15," --&gt; &lt;path d=""M",$D$24,",",$D$24," L",F15,",",G15," A",$D$24,",",$D$24," 0 0 0 ",F16,",",G16," Z"" fill=""#",H15,"""/&gt;")</f>
        <v>&lt;!-- 19 --&gt; &lt;path d="M260,260 L147,483 A260,260 0 0 0 221,507 Z" fill="#EFDEAD"/&gt;</v>
      </c>
      <c r="J15">
        <f>ROUND(COS(RADIANS(C15))*$D$26+$D$24,0)</f>
        <v>147</v>
      </c>
      <c r="K15">
        <f>ROUND(-SIN(RADIANS(C15))*$D$26+$D$24, 0)</f>
        <v>483</v>
      </c>
      <c r="L15">
        <f>ROUND(COS(RADIANS(C15))*$D$27+$D$24,0)</f>
        <v>156</v>
      </c>
      <c r="M15">
        <f>ROUND(-SIN(RADIANS(C15))*$D$27+$D$24, 0)</f>
        <v>464</v>
      </c>
      <c r="N15" t="str">
        <f>$C$35</f>
        <v>3E7A31</v>
      </c>
      <c r="O15" t="str">
        <f t="shared" si="2"/>
        <v>&lt;!--   double --&gt; &lt;path stroke="black" stroke-width="1" d="M156,464 L147,483 A260,260 0 0 0 221,507 L224,486 A260,260 0 0 1 156,464 Z" fill="#3E7A31"/&gt;</v>
      </c>
      <c r="P15">
        <f t="shared" si="3"/>
        <v>190</v>
      </c>
      <c r="Q15">
        <f t="shared" si="4"/>
        <v>396</v>
      </c>
      <c r="R15">
        <f t="shared" si="5"/>
        <v>200</v>
      </c>
      <c r="S15">
        <f t="shared" si="6"/>
        <v>378</v>
      </c>
      <c r="T15" t="str">
        <f>$C$35</f>
        <v>3E7A31</v>
      </c>
      <c r="U15" t="str">
        <f t="shared" si="7"/>
        <v>&lt;!--   triple --&gt; &lt;path stroke="black" stroke-width="1" d="M200,378 L190,396 A260,260 0 0 0 236,411 L239,391 A260,260 0 0 1 200,378 Z" fill="#3E7A31"/&gt;</v>
      </c>
    </row>
    <row r="16" spans="1:21" x14ac:dyDescent="0.25">
      <c r="A16">
        <f>A15+1</f>
        <v>15</v>
      </c>
      <c r="B16">
        <v>3</v>
      </c>
      <c r="C16">
        <f t="shared" si="0"/>
        <v>261</v>
      </c>
      <c r="D16">
        <f t="shared" si="1"/>
        <v>279</v>
      </c>
      <c r="F16" s="2">
        <f>ROUND(COS(RADIANS(C16))*$D$25+$D$24,0)</f>
        <v>221</v>
      </c>
      <c r="G16" s="2">
        <f>ROUND(-SIN(RADIANS(C16))*$D$25+$D$24, 0)</f>
        <v>507</v>
      </c>
      <c r="H16" t="str">
        <f>$C$33</f>
        <v>1C1A1D</v>
      </c>
      <c r="I16" t="str">
        <f>_xlfn.CONCAT("&lt;!-- ",B16," --&gt; &lt;path d=""M",$D$24,",",$D$24," L",F16,",",G16," A",$D$24,",",$D$24," 0 0 0 ",F17,",",G17," Z"" fill=""#",H16,"""/&gt;")</f>
        <v>&lt;!-- 3 --&gt; &lt;path d="M260,260 L221,507 A260,260 0 0 0 299,507 Z" fill="#1C1A1D"/&gt;</v>
      </c>
      <c r="J16">
        <f>ROUND(COS(RADIANS(C16))*$D$26+$D$24,0)</f>
        <v>221</v>
      </c>
      <c r="K16">
        <f>ROUND(-SIN(RADIANS(C16))*$D$26+$D$24, 0)</f>
        <v>507</v>
      </c>
      <c r="L16">
        <f>ROUND(COS(RADIANS(C16))*$D$27+$D$24,0)</f>
        <v>224</v>
      </c>
      <c r="M16">
        <f>ROUND(-SIN(RADIANS(C16))*$D$27+$D$24, 0)</f>
        <v>486</v>
      </c>
      <c r="N16" t="str">
        <f>$C$34</f>
        <v>BB2A32</v>
      </c>
      <c r="O16" t="str">
        <f t="shared" si="2"/>
        <v>&lt;!--   double --&gt; &lt;path stroke="black" stroke-width="1" d="M224,486 L221,507 A260,260 0 0 0 299,507 L296,486 A260,260 0 0 1 224,486 Z" fill="#BB2A32"/&gt;</v>
      </c>
      <c r="P16">
        <f t="shared" si="3"/>
        <v>236</v>
      </c>
      <c r="Q16">
        <f t="shared" si="4"/>
        <v>411</v>
      </c>
      <c r="R16">
        <f t="shared" si="5"/>
        <v>239</v>
      </c>
      <c r="S16">
        <f t="shared" si="6"/>
        <v>391</v>
      </c>
      <c r="T16" t="str">
        <f>$C$34</f>
        <v>BB2A32</v>
      </c>
      <c r="U16" t="str">
        <f t="shared" si="7"/>
        <v>&lt;!--   triple --&gt; &lt;path stroke="black" stroke-width="1" d="M239,391 L236,411 A260,260 0 0 0 284,411 L281,391 A260,260 0 0 1 239,391 Z" fill="#BB2A32"/&gt;</v>
      </c>
    </row>
    <row r="17" spans="1:21" x14ac:dyDescent="0.25">
      <c r="A17">
        <f>A16+1</f>
        <v>16</v>
      </c>
      <c r="B17">
        <v>17</v>
      </c>
      <c r="C17">
        <f t="shared" si="0"/>
        <v>279</v>
      </c>
      <c r="D17">
        <f t="shared" si="1"/>
        <v>297</v>
      </c>
      <c r="F17" s="2">
        <f>ROUND(COS(RADIANS(C17))*$D$25+$D$24,0)</f>
        <v>299</v>
      </c>
      <c r="G17" s="2">
        <f>ROUND(-SIN(RADIANS(C17))*$D$25+$D$24, 0)</f>
        <v>507</v>
      </c>
      <c r="H17" t="str">
        <f>$C$32</f>
        <v>EFDEAD</v>
      </c>
      <c r="I17" t="str">
        <f>_xlfn.CONCAT("&lt;!-- ",B17," --&gt; &lt;path d=""M",$D$24,",",$D$24," L",F17,",",G17," A",$D$24,",",$D$24," 0 0 0 ",F18,",",G18," Z"" fill=""#",H17,"""/&gt;")</f>
        <v>&lt;!-- 17 --&gt; &lt;path d="M260,260 L299,507 A260,260 0 0 0 373,483 Z" fill="#EFDEAD"/&gt;</v>
      </c>
      <c r="J17">
        <f>ROUND(COS(RADIANS(C17))*$D$26+$D$24,0)</f>
        <v>299</v>
      </c>
      <c r="K17">
        <f>ROUND(-SIN(RADIANS(C17))*$D$26+$D$24, 0)</f>
        <v>507</v>
      </c>
      <c r="L17">
        <f>ROUND(COS(RADIANS(C17))*$D$27+$D$24,0)</f>
        <v>296</v>
      </c>
      <c r="M17">
        <f>ROUND(-SIN(RADIANS(C17))*$D$27+$D$24, 0)</f>
        <v>486</v>
      </c>
      <c r="N17" t="str">
        <f>$C$35</f>
        <v>3E7A31</v>
      </c>
      <c r="O17" t="str">
        <f t="shared" si="2"/>
        <v>&lt;!--   double --&gt; &lt;path stroke="black" stroke-width="1" d="M296,486 L299,507 A260,260 0 0 0 373,483 L364,464 A260,260 0 0 1 296,486 Z" fill="#3E7A31"/&gt;</v>
      </c>
      <c r="P17">
        <f t="shared" si="3"/>
        <v>284</v>
      </c>
      <c r="Q17">
        <f t="shared" si="4"/>
        <v>411</v>
      </c>
      <c r="R17">
        <f t="shared" si="5"/>
        <v>281</v>
      </c>
      <c r="S17">
        <f t="shared" si="6"/>
        <v>391</v>
      </c>
      <c r="T17" t="str">
        <f>$C$35</f>
        <v>3E7A31</v>
      </c>
      <c r="U17" t="str">
        <f t="shared" si="7"/>
        <v>&lt;!--   triple --&gt; &lt;path stroke="black" stroke-width="1" d="M281,391 L284,411 A260,260 0 0 0 330,396 L320,378 A260,260 0 0 1 281,391 Z" fill="#3E7A31"/&gt;</v>
      </c>
    </row>
    <row r="18" spans="1:21" x14ac:dyDescent="0.25">
      <c r="A18">
        <f>A17+1</f>
        <v>17</v>
      </c>
      <c r="B18">
        <v>2</v>
      </c>
      <c r="C18">
        <f t="shared" si="0"/>
        <v>297</v>
      </c>
      <c r="D18">
        <f t="shared" si="1"/>
        <v>315</v>
      </c>
      <c r="F18" s="2">
        <f>ROUND(COS(RADIANS(C18))*$D$25+$D$24,0)</f>
        <v>373</v>
      </c>
      <c r="G18" s="2">
        <f>ROUND(-SIN(RADIANS(C18))*$D$25+$D$24, 0)</f>
        <v>483</v>
      </c>
      <c r="H18" t="str">
        <f>$C$33</f>
        <v>1C1A1D</v>
      </c>
      <c r="I18" t="str">
        <f>_xlfn.CONCAT("&lt;!-- ",B18," --&gt; &lt;path d=""M",$D$24,",",$D$24," L",F18,",",G18," A",$D$24,",",$D$24," 0 0 0 ",F19,",",G19," Z"" fill=""#",H18,"""/&gt;")</f>
        <v>&lt;!-- 2 --&gt; &lt;path d="M260,260 L373,483 A260,260 0 0 0 437,437 Z" fill="#1C1A1D"/&gt;</v>
      </c>
      <c r="J18">
        <f>ROUND(COS(RADIANS(C18))*$D$26+$D$24,0)</f>
        <v>373</v>
      </c>
      <c r="K18">
        <f>ROUND(-SIN(RADIANS(C18))*$D$26+$D$24, 0)</f>
        <v>483</v>
      </c>
      <c r="L18">
        <f>ROUND(COS(RADIANS(C18))*$D$27+$D$24,0)</f>
        <v>364</v>
      </c>
      <c r="M18">
        <f>ROUND(-SIN(RADIANS(C18))*$D$27+$D$24, 0)</f>
        <v>464</v>
      </c>
      <c r="N18" t="str">
        <f>$C$34</f>
        <v>BB2A32</v>
      </c>
      <c r="O18" t="str">
        <f t="shared" si="2"/>
        <v>&lt;!--   double --&gt; &lt;path stroke="black" stroke-width="1" d="M364,464 L373,483 A260,260 0 0 0 437,437 L422,422 A260,260 0 0 1 364,464 Z" fill="#BB2A32"/&gt;</v>
      </c>
      <c r="P18">
        <f t="shared" si="3"/>
        <v>330</v>
      </c>
      <c r="Q18">
        <f t="shared" si="4"/>
        <v>396</v>
      </c>
      <c r="R18">
        <f t="shared" si="5"/>
        <v>320</v>
      </c>
      <c r="S18">
        <f t="shared" si="6"/>
        <v>378</v>
      </c>
      <c r="T18" t="str">
        <f>$C$34</f>
        <v>BB2A32</v>
      </c>
      <c r="U18" t="str">
        <f t="shared" si="7"/>
        <v>&lt;!--   triple --&gt; &lt;path stroke="black" stroke-width="1" d="M320,378 L330,396 A260,260 0 0 0 368,368 L354,354 A260,260 0 0 1 320,378 Z" fill="#BB2A32"/&gt;</v>
      </c>
    </row>
    <row r="19" spans="1:21" x14ac:dyDescent="0.25">
      <c r="A19">
        <f>A18+1</f>
        <v>18</v>
      </c>
      <c r="B19">
        <v>15</v>
      </c>
      <c r="C19">
        <f t="shared" si="0"/>
        <v>315</v>
      </c>
      <c r="D19">
        <f t="shared" si="1"/>
        <v>333</v>
      </c>
      <c r="F19" s="2">
        <f>ROUND(COS(RADIANS(C19))*$D$25+$D$24,0)</f>
        <v>437</v>
      </c>
      <c r="G19" s="2">
        <f>ROUND(-SIN(RADIANS(C19))*$D$25+$D$24, 0)</f>
        <v>437</v>
      </c>
      <c r="H19" t="str">
        <f>$C$32</f>
        <v>EFDEAD</v>
      </c>
      <c r="I19" t="str">
        <f>_xlfn.CONCAT("&lt;!-- ",B19," --&gt; &lt;path d=""M",$D$24,",",$D$24," L",F19,",",G19," A",$D$24,",",$D$24," 0 0 0 ",F20,",",G20," Z"" fill=""#",H19,"""/&gt;")</f>
        <v>&lt;!-- 15 --&gt; &lt;path d="M260,260 L437,437 A260,260 0 0 0 483,373 Z" fill="#EFDEAD"/&gt;</v>
      </c>
      <c r="J19">
        <f>ROUND(COS(RADIANS(C19))*$D$26+$D$24,0)</f>
        <v>437</v>
      </c>
      <c r="K19">
        <f>ROUND(-SIN(RADIANS(C19))*$D$26+$D$24, 0)</f>
        <v>437</v>
      </c>
      <c r="L19">
        <f>ROUND(COS(RADIANS(C19))*$D$27+$D$24,0)</f>
        <v>422</v>
      </c>
      <c r="M19">
        <f>ROUND(-SIN(RADIANS(C19))*$D$27+$D$24, 0)</f>
        <v>422</v>
      </c>
      <c r="N19" t="str">
        <f>$C$35</f>
        <v>3E7A31</v>
      </c>
      <c r="O19" t="str">
        <f t="shared" si="2"/>
        <v>&lt;!--   double --&gt; &lt;path stroke="black" stroke-width="1" d="M422,422 L437,437 A260,260 0 0 0 483,373 L464,364 A260,260 0 0 1 422,422 Z" fill="#3E7A31"/&gt;</v>
      </c>
      <c r="P19">
        <f t="shared" si="3"/>
        <v>368</v>
      </c>
      <c r="Q19">
        <f t="shared" si="4"/>
        <v>368</v>
      </c>
      <c r="R19">
        <f t="shared" si="5"/>
        <v>354</v>
      </c>
      <c r="S19">
        <f t="shared" si="6"/>
        <v>354</v>
      </c>
      <c r="T19" t="str">
        <f>$C$35</f>
        <v>3E7A31</v>
      </c>
      <c r="U19" t="str">
        <f t="shared" si="7"/>
        <v>&lt;!--   triple --&gt; &lt;path stroke="black" stroke-width="1" d="M354,354 L368,368 A260,260 0 0 0 396,330 L378,320 A260,260 0 0 1 354,354 Z" fill="#3E7A31"/&gt;</v>
      </c>
    </row>
    <row r="20" spans="1:21" x14ac:dyDescent="0.25">
      <c r="A20">
        <f>A19+1</f>
        <v>19</v>
      </c>
      <c r="B20">
        <v>10</v>
      </c>
      <c r="C20">
        <f t="shared" si="0"/>
        <v>333</v>
      </c>
      <c r="D20">
        <f t="shared" si="1"/>
        <v>351</v>
      </c>
      <c r="F20" s="2">
        <f>ROUND(COS(RADIANS(C20))*$D$25+$D$24,0)</f>
        <v>483</v>
      </c>
      <c r="G20" s="2">
        <f>ROUND(-SIN(RADIANS(C20))*$D$25+$D$24, 0)</f>
        <v>373</v>
      </c>
      <c r="H20" t="str">
        <f>$C$33</f>
        <v>1C1A1D</v>
      </c>
      <c r="I20" t="str">
        <f>_xlfn.CONCAT("&lt;!-- ",B20," --&gt; &lt;path d=""M",$D$24,",",$D$24," L",F20,",",G20," A",$D$24,",",$D$24," 0 0 0 ",F21,",",G21," Z"" fill=""#",H20,"""/&gt;")</f>
        <v>&lt;!-- 10 --&gt; &lt;path d="M260,260 L483,373 A260,260 0 0 0 507,299 Z" fill="#1C1A1D"/&gt;</v>
      </c>
      <c r="J20">
        <f>ROUND(COS(RADIANS(C20))*$D$26+$D$24,0)</f>
        <v>483</v>
      </c>
      <c r="K20">
        <f>ROUND(-SIN(RADIANS(C20))*$D$26+$D$24, 0)</f>
        <v>373</v>
      </c>
      <c r="L20">
        <f>ROUND(COS(RADIANS(C20))*$D$27+$D$24,0)</f>
        <v>464</v>
      </c>
      <c r="M20">
        <f>ROUND(-SIN(RADIANS(C20))*$D$27+$D$24, 0)</f>
        <v>364</v>
      </c>
      <c r="N20" t="str">
        <f>$C$34</f>
        <v>BB2A32</v>
      </c>
      <c r="O20" t="str">
        <f t="shared" si="2"/>
        <v>&lt;!--   double --&gt; &lt;path stroke="black" stroke-width="1" d="M464,364 L483,373 A260,260 0 0 0 507,299 L486,296 A260,260 0 0 1 464,364 Z" fill="#BB2A32"/&gt;</v>
      </c>
      <c r="P20">
        <f t="shared" si="3"/>
        <v>396</v>
      </c>
      <c r="Q20">
        <f t="shared" si="4"/>
        <v>330</v>
      </c>
      <c r="R20">
        <f t="shared" si="5"/>
        <v>378</v>
      </c>
      <c r="S20">
        <f t="shared" si="6"/>
        <v>320</v>
      </c>
      <c r="T20" t="str">
        <f>$C$34</f>
        <v>BB2A32</v>
      </c>
      <c r="U20" t="str">
        <f t="shared" si="7"/>
        <v>&lt;!--   triple --&gt; &lt;path stroke="black" stroke-width="1" d="M378,320 L396,330 A260,260 0 0 0 411,284 L391,281 A260,260 0 0 1 378,320 Z" fill="#BB2A32"/&gt;</v>
      </c>
    </row>
    <row r="21" spans="1:21" x14ac:dyDescent="0.25">
      <c r="A21">
        <f>A20+1</f>
        <v>20</v>
      </c>
      <c r="B21">
        <v>6</v>
      </c>
      <c r="C21">
        <f t="shared" si="0"/>
        <v>351</v>
      </c>
      <c r="D21">
        <f t="shared" si="1"/>
        <v>9</v>
      </c>
      <c r="F21" s="2">
        <f>ROUND(COS(RADIANS(C21))*$D$25+$D$24,0)</f>
        <v>507</v>
      </c>
      <c r="G21" s="2">
        <f>ROUND(-SIN(RADIANS(C21))*$D$25+$D$24, 0)</f>
        <v>299</v>
      </c>
      <c r="H21" t="str">
        <f>$C$32</f>
        <v>EFDEAD</v>
      </c>
      <c r="I21" t="str">
        <f>_xlfn.CONCAT("&lt;!-- ",B21," --&gt; &lt;path d=""M",$D$24,",",$D$24," L",F21,",",G21," A",$D$24,",",$D$24," 0 0 0 ",F22,",",G22," Z"" fill=""#",H21,"""/&gt;")</f>
        <v>&lt;!-- 6 --&gt; &lt;path d="M260,260 L507,299 A260,260 0 0 0 507,221 Z" fill="#EFDEAD"/&gt;</v>
      </c>
      <c r="J21">
        <f>ROUND(COS(RADIANS(C21))*$D$26+$D$24,0)</f>
        <v>507</v>
      </c>
      <c r="K21">
        <f>ROUND(-SIN(RADIANS(C21))*$D$26+$D$24, 0)</f>
        <v>299</v>
      </c>
      <c r="L21">
        <f>ROUND(COS(RADIANS(C21))*$D$27+$D$24,0)</f>
        <v>486</v>
      </c>
      <c r="M21">
        <f>ROUND(-SIN(RADIANS(C21))*$D$27+$D$24, 0)</f>
        <v>296</v>
      </c>
      <c r="N21" t="str">
        <f>$C$35</f>
        <v>3E7A31</v>
      </c>
      <c r="O21" t="str">
        <f t="shared" si="2"/>
        <v>&lt;!--   double --&gt; &lt;path stroke="black" stroke-width="1" d="M486,296 L507,299 A260,260 0 0 0 507,221 L486,224 A260,260 0 0 1 486,296 Z" fill="#3E7A31"/&gt;</v>
      </c>
      <c r="P21">
        <f t="shared" si="3"/>
        <v>411</v>
      </c>
      <c r="Q21">
        <f t="shared" si="4"/>
        <v>284</v>
      </c>
      <c r="R21">
        <f t="shared" si="5"/>
        <v>391</v>
      </c>
      <c r="S21">
        <f t="shared" si="6"/>
        <v>281</v>
      </c>
      <c r="T21" t="str">
        <f>$C$35</f>
        <v>3E7A31</v>
      </c>
      <c r="U21" t="str">
        <f t="shared" si="7"/>
        <v>&lt;!--   triple --&gt; &lt;path stroke="black" stroke-width="1" d="M391,281 L411,284 A260,260 0 0 0 411,236 L391,239 A260,260 0 0 1 391,281 Z" fill="#3E7A31"/&gt;</v>
      </c>
    </row>
    <row r="22" spans="1:21" x14ac:dyDescent="0.25">
      <c r="A22">
        <f>A21+1</f>
        <v>21</v>
      </c>
      <c r="C22">
        <f t="shared" si="0"/>
        <v>9</v>
      </c>
      <c r="F22" s="2">
        <f>ROUND(COS(RADIANS(C22))*$D$25+$D$24,0)</f>
        <v>507</v>
      </c>
      <c r="G22" s="2">
        <f>ROUND(-SIN(RADIANS(C22))*$D$25+$D$24, 0)</f>
        <v>221</v>
      </c>
      <c r="H22" t="str">
        <f>$C$33</f>
        <v>1C1A1D</v>
      </c>
      <c r="J22">
        <f>ROUND(COS(RADIANS(C22))*$D$26+$D$24,0)</f>
        <v>507</v>
      </c>
      <c r="K22">
        <f>ROUND(-SIN(RADIANS(C22))*$D$26+$D$24, 0)</f>
        <v>221</v>
      </c>
      <c r="L22">
        <f>ROUND(COS(RADIANS(C22))*$D$27+$D$24,0)</f>
        <v>486</v>
      </c>
      <c r="M22">
        <f>ROUND(-SIN(RADIANS(C22))*$D$27+$D$24, 0)</f>
        <v>224</v>
      </c>
      <c r="N22" t="str">
        <f>$C$34</f>
        <v>BB2A32</v>
      </c>
      <c r="P22">
        <f t="shared" si="3"/>
        <v>411</v>
      </c>
      <c r="Q22">
        <f t="shared" si="4"/>
        <v>236</v>
      </c>
      <c r="R22">
        <f t="shared" si="5"/>
        <v>391</v>
      </c>
      <c r="S22">
        <f t="shared" si="6"/>
        <v>239</v>
      </c>
      <c r="T22" t="str">
        <f>$C$34</f>
        <v>BB2A32</v>
      </c>
    </row>
    <row r="24" spans="1:21" x14ac:dyDescent="0.25">
      <c r="B24" t="s">
        <v>2</v>
      </c>
      <c r="C24" s="4" t="s">
        <v>25</v>
      </c>
      <c r="D24" s="3">
        <v>260</v>
      </c>
      <c r="F24" t="s">
        <v>20</v>
      </c>
      <c r="G24" t="s">
        <v>6</v>
      </c>
      <c r="H24" t="s">
        <v>7</v>
      </c>
      <c r="I24" t="s">
        <v>8</v>
      </c>
      <c r="J24" t="s">
        <v>19</v>
      </c>
    </row>
    <row r="25" spans="1:21" x14ac:dyDescent="0.25">
      <c r="B25" t="s">
        <v>3</v>
      </c>
      <c r="C25">
        <v>22.85</v>
      </c>
      <c r="D25" s="3">
        <v>250</v>
      </c>
      <c r="F25" t="s">
        <v>9</v>
      </c>
      <c r="G25">
        <v>1.27</v>
      </c>
      <c r="H25">
        <v>3.18</v>
      </c>
      <c r="I25">
        <v>22.85</v>
      </c>
      <c r="J25">
        <f>H25-G25</f>
        <v>1.9100000000000001</v>
      </c>
    </row>
    <row r="26" spans="1:21" x14ac:dyDescent="0.25">
      <c r="B26" t="s">
        <v>22</v>
      </c>
      <c r="C26">
        <v>22.85</v>
      </c>
      <c r="D26" s="2">
        <f>C26/$C$25*$D$25</f>
        <v>250</v>
      </c>
      <c r="F26" t="s">
        <v>10</v>
      </c>
      <c r="G26" s="1">
        <f>G25/I25*I26</f>
        <v>13.894967177242888</v>
      </c>
      <c r="H26" s="1">
        <f>H25/I25*I26</f>
        <v>34.792122538293221</v>
      </c>
      <c r="I26">
        <f>D25</f>
        <v>250</v>
      </c>
      <c r="J26" s="1">
        <f>J25/I25*I26</f>
        <v>20.897155361050331</v>
      </c>
    </row>
    <row r="27" spans="1:21" x14ac:dyDescent="0.25">
      <c r="B27" t="s">
        <v>23</v>
      </c>
      <c r="C27">
        <f>C26-J25</f>
        <v>20.94</v>
      </c>
      <c r="D27" s="2">
        <f t="shared" ref="D27:D29" si="8">C27/$C$25*$D$25</f>
        <v>229.10284463894968</v>
      </c>
    </row>
    <row r="28" spans="1:21" x14ac:dyDescent="0.25">
      <c r="B28" t="s">
        <v>24</v>
      </c>
      <c r="C28" s="3">
        <v>14</v>
      </c>
      <c r="D28" s="2">
        <f t="shared" si="8"/>
        <v>153.17286652078775</v>
      </c>
    </row>
    <row r="29" spans="1:21" x14ac:dyDescent="0.25">
      <c r="B29" t="s">
        <v>21</v>
      </c>
      <c r="C29">
        <f>C28-J25</f>
        <v>12.09</v>
      </c>
      <c r="D29" s="2">
        <f t="shared" si="8"/>
        <v>132.2757111597374</v>
      </c>
    </row>
    <row r="31" spans="1:21" x14ac:dyDescent="0.25">
      <c r="B31" t="s">
        <v>13</v>
      </c>
    </row>
    <row r="32" spans="1:21" x14ac:dyDescent="0.25">
      <c r="B32" t="s">
        <v>14</v>
      </c>
      <c r="C32" s="3" t="s">
        <v>5</v>
      </c>
    </row>
    <row r="33" spans="2:3" x14ac:dyDescent="0.25">
      <c r="B33" t="s">
        <v>15</v>
      </c>
      <c r="C33" s="3" t="s">
        <v>18</v>
      </c>
    </row>
    <row r="34" spans="2:3" x14ac:dyDescent="0.25">
      <c r="B34" t="s">
        <v>16</v>
      </c>
      <c r="C34" s="3" t="s">
        <v>11</v>
      </c>
    </row>
    <row r="35" spans="2:3" x14ac:dyDescent="0.25">
      <c r="B35" t="s">
        <v>17</v>
      </c>
      <c r="C35" s="3" t="s"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Corentin ZIMMERMANN</dc:creator>
  <cp:lastModifiedBy>Corentin ZIMMERMANN</cp:lastModifiedBy>
  <dcterms:created xsi:type="dcterms:W3CDTF">2025-03-12T08:49:53Z</dcterms:created>
  <dcterms:modified xsi:type="dcterms:W3CDTF">2025-03-12T11:46:28Z</dcterms:modified>
</cp:coreProperties>
</file>